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app\modelling\staff\"/>
    </mc:Choice>
  </mc:AlternateContent>
  <xr:revisionPtr revIDLastSave="0" documentId="13_ncr:1_{841CF741-FF1C-4413-A1D7-255BA69433E5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model" sheetId="1" r:id="rId1"/>
    <sheet name="phase" sheetId="2" r:id="rId2"/>
    <sheet name="merged model" sheetId="3" r:id="rId3"/>
    <sheet name="gold_ref" sheetId="4" r:id="rId4"/>
    <sheet name="silver_ref" sheetId="5" r:id="rId5"/>
  </sheets>
  <definedNames>
    <definedName name="_xlnm._FilterDatabase" localSheetId="2" hidden="1">'merged model'!$A$1:$M$96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9" i="1" l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<sst xmlns="http://schemas.openxmlformats.org/spreadsheetml/2006/main" count="984" uniqueCount="302">
  <si>
    <t>derived requested attribute</t>
  </si>
  <si>
    <t>derived phase</t>
  </si>
  <si>
    <t>source data type</t>
  </si>
  <si>
    <t>requested attribute</t>
  </si>
  <si>
    <t>AR Agent Type</t>
  </si>
  <si>
    <t>VARCHAR(50)</t>
  </si>
  <si>
    <t>Address Line 1</t>
  </si>
  <si>
    <t>VARCHAR(35)</t>
  </si>
  <si>
    <t>Address Line 2</t>
  </si>
  <si>
    <t>Address Line 3</t>
  </si>
  <si>
    <t>Address Line 4</t>
  </si>
  <si>
    <t>Address Line 5</t>
  </si>
  <si>
    <t>Agent Type Code</t>
  </si>
  <si>
    <t>tinyint</t>
  </si>
  <si>
    <t>Area Sales Manager (ASM) Name LV1</t>
  </si>
  <si>
    <t>Area Sales Manager (ASM) UID LV1</t>
  </si>
  <si>
    <t>Business Area</t>
  </si>
  <si>
    <t>VARCHAR(12)</t>
  </si>
  <si>
    <t xml:space="preserve">Business Development Manager </t>
  </si>
  <si>
    <t>CF30 Status</t>
  </si>
  <si>
    <t>VARCHAR(100)</t>
  </si>
  <si>
    <t>Category Code</t>
  </si>
  <si>
    <t>VARCHAR(8)</t>
  </si>
  <si>
    <t>Category Name</t>
  </si>
  <si>
    <t>Channel</t>
  </si>
  <si>
    <t>VARCHAR(7)</t>
  </si>
  <si>
    <t>Combined Name</t>
  </si>
  <si>
    <t>VARCHAR(255)</t>
  </si>
  <si>
    <t>Competency Achieved Date</t>
  </si>
  <si>
    <t>Datetime</t>
  </si>
  <si>
    <t>Contact Forename</t>
  </si>
  <si>
    <t>VARCHAR(60)</t>
  </si>
  <si>
    <t>Contact Surname</t>
  </si>
  <si>
    <t>Contact Title</t>
  </si>
  <si>
    <t>Country</t>
  </si>
  <si>
    <t>Date Joined  Partnership</t>
  </si>
  <si>
    <t>Date Joined Firm</t>
  </si>
  <si>
    <t>Date Left Firm</t>
  </si>
  <si>
    <t>Date Left Partnership</t>
  </si>
  <si>
    <t>Date Transferred</t>
  </si>
  <si>
    <t>Date of Birth</t>
  </si>
  <si>
    <t>Employment Status</t>
  </si>
  <si>
    <t>Employment Type</t>
  </si>
  <si>
    <t>Enterprise Sales Manager ID</t>
  </si>
  <si>
    <t>Enterprise Sales Manager Name</t>
  </si>
  <si>
    <t>FCA Registration Number</t>
  </si>
  <si>
    <t>Firm Legal Name</t>
  </si>
  <si>
    <t>Firm Segment</t>
  </si>
  <si>
    <t>Firm Supervisor ID</t>
  </si>
  <si>
    <t>Firm Supervisor Name</t>
  </si>
  <si>
    <t>Firm Trading Name</t>
  </si>
  <si>
    <t>Firm UID</t>
  </si>
  <si>
    <t>First Name</t>
  </si>
  <si>
    <t>Gender</t>
  </si>
  <si>
    <t>VARCHAR(1)</t>
  </si>
  <si>
    <t>Gives Advice  (Yes/No)</t>
  </si>
  <si>
    <t>Insight Contract Status</t>
  </si>
  <si>
    <t>Introducer</t>
  </si>
  <si>
    <t>Introducer UID</t>
  </si>
  <si>
    <t>VARCHAR(10)</t>
  </si>
  <si>
    <t>Is ASM (Yes/No)</t>
  </si>
  <si>
    <t>Is ESM (Yes/No)</t>
  </si>
  <si>
    <t>Is Principle (of Firm)</t>
  </si>
  <si>
    <t>Is Supervisor (Yes / No)</t>
  </si>
  <si>
    <t>Job Title</t>
  </si>
  <si>
    <t>Last Name</t>
  </si>
  <si>
    <t>Mobile Telephone Number</t>
  </si>
  <si>
    <t>VARCHAR(20)</t>
  </si>
  <si>
    <t>Months Active</t>
  </si>
  <si>
    <t>INT</t>
  </si>
  <si>
    <t>NINO</t>
  </si>
  <si>
    <t>VARCHAR(15)</t>
  </si>
  <si>
    <t>Nationality</t>
  </si>
  <si>
    <t>New/Experienced</t>
  </si>
  <si>
    <t>VARCHAR(11)</t>
  </si>
  <si>
    <t>Notice Given</t>
  </si>
  <si>
    <t>OwlASMEmail</t>
  </si>
  <si>
    <t>PDM</t>
  </si>
  <si>
    <t>PDM Area</t>
  </si>
  <si>
    <t>Panel</t>
  </si>
  <si>
    <t>Partnership T&amp;C Manager ID</t>
  </si>
  <si>
    <t>Partnership T&amp;C Manager Name</t>
  </si>
  <si>
    <t>Partnership T&amp;C Supervisor ID</t>
  </si>
  <si>
    <t>Partnership T&amp;C Supervisor Name</t>
  </si>
  <si>
    <t>Portal Code</t>
  </si>
  <si>
    <t>Postcode</t>
  </si>
  <si>
    <t>Primary Email Address</t>
  </si>
  <si>
    <t>Principal Role Start Date</t>
  </si>
  <si>
    <t>QRM</t>
  </si>
  <si>
    <t>Reason for Leaving</t>
  </si>
  <si>
    <t>VARCHAR100)</t>
  </si>
  <si>
    <t>Recruitment Source</t>
  </si>
  <si>
    <t>VARCHAR(14)</t>
  </si>
  <si>
    <t>Region</t>
  </si>
  <si>
    <t>Seller Role (Yes / No)</t>
  </si>
  <si>
    <t>Seller Type</t>
  </si>
  <si>
    <t>Suspension</t>
  </si>
  <si>
    <t>Swift Status</t>
  </si>
  <si>
    <t>Telephone Number</t>
  </si>
  <si>
    <t>VARCHAR(30)</t>
  </si>
  <si>
    <t>UID</t>
  </si>
  <si>
    <t>NVARCHAR(50)</t>
  </si>
  <si>
    <t>count</t>
  </si>
  <si>
    <t>column_name</t>
  </si>
  <si>
    <t>silver</t>
  </si>
  <si>
    <t>gold</t>
  </si>
  <si>
    <t>mv</t>
  </si>
  <si>
    <t>phase (1/2)</t>
  </si>
  <si>
    <t>modelled</t>
  </si>
  <si>
    <t>address line 1</t>
  </si>
  <si>
    <t>address_line_1</t>
  </si>
  <si>
    <t>address</t>
  </si>
  <si>
    <t>dim_staff</t>
  </si>
  <si>
    <t>y</t>
  </si>
  <si>
    <t>address line 2</t>
  </si>
  <si>
    <t>address_line_2</t>
  </si>
  <si>
    <t>address line 3</t>
  </si>
  <si>
    <t>address_line_3</t>
  </si>
  <si>
    <t>address line 4</t>
  </si>
  <si>
    <t>address_line_4</t>
  </si>
  <si>
    <t>address line 5</t>
  </si>
  <si>
    <t>address_line_5</t>
  </si>
  <si>
    <t>address type</t>
  </si>
  <si>
    <t>n</t>
  </si>
  <si>
    <t>agent type code</t>
  </si>
  <si>
    <t>agent_type_code</t>
  </si>
  <si>
    <t>staff</t>
  </si>
  <si>
    <t>ar agent type</t>
  </si>
  <si>
    <t>ar_agent_type</t>
  </si>
  <si>
    <t>staff_transformations</t>
  </si>
  <si>
    <t>area sales manager (asm) name lv1</t>
  </si>
  <si>
    <t>asm_name</t>
  </si>
  <si>
    <t>staff_mv</t>
  </si>
  <si>
    <t>area sales manager (asm) uid lv1</t>
  </si>
  <si>
    <t>asm_uid</t>
  </si>
  <si>
    <t>business area</t>
  </si>
  <si>
    <t>business_area</t>
  </si>
  <si>
    <t>business development manager</t>
  </si>
  <si>
    <t>business_development_manager</t>
  </si>
  <si>
    <t>category code</t>
  </si>
  <si>
    <t>agent_category_code</t>
  </si>
  <si>
    <t>category name</t>
  </si>
  <si>
    <t>agent_category_description</t>
  </si>
  <si>
    <t>certified role type</t>
  </si>
  <si>
    <t>cf30 status</t>
  </si>
  <si>
    <t>cf30_status</t>
  </si>
  <si>
    <t>channel</t>
  </si>
  <si>
    <t>combined name</t>
  </si>
  <si>
    <t>staff_fullname</t>
  </si>
  <si>
    <t>competency achieved date</t>
  </si>
  <si>
    <t>competency_achieved_date</t>
  </si>
  <si>
    <t>competency status</t>
  </si>
  <si>
    <t>contact forename</t>
  </si>
  <si>
    <t>first_name</t>
  </si>
  <si>
    <t>contact surname</t>
  </si>
  <si>
    <t>last_name</t>
  </si>
  <si>
    <t>contact title</t>
  </si>
  <si>
    <t>title</t>
  </si>
  <si>
    <t>country</t>
  </si>
  <si>
    <t>date joined  partnership</t>
  </si>
  <si>
    <t>date_joined_partnership</t>
  </si>
  <si>
    <t>date joined firm</t>
  </si>
  <si>
    <t>date_joined_firm</t>
  </si>
  <si>
    <t>staff_position</t>
  </si>
  <si>
    <t>fact_staff</t>
  </si>
  <si>
    <t>date left firm</t>
  </si>
  <si>
    <t>date_left_firm</t>
  </si>
  <si>
    <t>date left partnership</t>
  </si>
  <si>
    <t>date_left_partnership</t>
  </si>
  <si>
    <t>date of birth</t>
  </si>
  <si>
    <t>dob</t>
  </si>
  <si>
    <t>date transferred</t>
  </si>
  <si>
    <t>employment status</t>
  </si>
  <si>
    <t>employment_status</t>
  </si>
  <si>
    <t>employment type</t>
  </si>
  <si>
    <t>enhanced monitoring (yes / no)</t>
  </si>
  <si>
    <t>enhanced monitoring end date</t>
  </si>
  <si>
    <t>enhanced monitoring start date</t>
  </si>
  <si>
    <t>enterprise sales manager id</t>
  </si>
  <si>
    <t>esm_uid</t>
  </si>
  <si>
    <t>enterprise sales manager name</t>
  </si>
  <si>
    <t>esm_name</t>
  </si>
  <si>
    <t>fca registration number</t>
  </si>
  <si>
    <t>licence_number</t>
  </si>
  <si>
    <t>firm legal name</t>
  </si>
  <si>
    <t>business_legal_name</t>
  </si>
  <si>
    <t>business</t>
  </si>
  <si>
    <t>dim_business</t>
  </si>
  <si>
    <t>firm segment</t>
  </si>
  <si>
    <t>business_segment</t>
  </si>
  <si>
    <t>firm supervisor id</t>
  </si>
  <si>
    <t>firm_supervisor_id</t>
  </si>
  <si>
    <t>firm supervisor name</t>
  </si>
  <si>
    <t>firm_supervisor_name</t>
  </si>
  <si>
    <t>firm trading name</t>
  </si>
  <si>
    <t>business_trading_name</t>
  </si>
  <si>
    <t>firm uid</t>
  </si>
  <si>
    <t>business_id</t>
  </si>
  <si>
    <t>first name</t>
  </si>
  <si>
    <t>gender</t>
  </si>
  <si>
    <t>gives advice  (yes/no)</t>
  </si>
  <si>
    <t>gives_advice</t>
  </si>
  <si>
    <t>insight contract status</t>
  </si>
  <si>
    <t>insight_contract_status</t>
  </si>
  <si>
    <t>introducer</t>
  </si>
  <si>
    <t>introducer_name</t>
  </si>
  <si>
    <t>introducer uid</t>
  </si>
  <si>
    <t>introducer_uid</t>
  </si>
  <si>
    <t>is asm (yes/no)</t>
  </si>
  <si>
    <t>is_asm</t>
  </si>
  <si>
    <t>is esm (yes/no)</t>
  </si>
  <si>
    <t>is_esm</t>
  </si>
  <si>
    <t>is principle (of firm)</t>
  </si>
  <si>
    <t>is_principle</t>
  </si>
  <si>
    <t>is supervisor (yes / no)</t>
  </si>
  <si>
    <t>is_supervisor</t>
  </si>
  <si>
    <t>job title</t>
  </si>
  <si>
    <t>job_title</t>
  </si>
  <si>
    <t>job title date from</t>
  </si>
  <si>
    <t>job title date to</t>
  </si>
  <si>
    <t>last name</t>
  </si>
  <si>
    <t>licences held (many to one)</t>
  </si>
  <si>
    <t>licences status (many to one)</t>
  </si>
  <si>
    <t>list of competencies</t>
  </si>
  <si>
    <t>mobile telephone number</t>
  </si>
  <si>
    <t>mobile_telephone</t>
  </si>
  <si>
    <t>months active</t>
  </si>
  <si>
    <t>months_active</t>
  </si>
  <si>
    <t>nationality</t>
  </si>
  <si>
    <t>new/experienced</t>
  </si>
  <si>
    <t>new_experienced</t>
  </si>
  <si>
    <t>nino</t>
  </si>
  <si>
    <t>ni_number</t>
  </si>
  <si>
    <t>notice given</t>
  </si>
  <si>
    <t>notice_given</t>
  </si>
  <si>
    <t>other sps details??</t>
  </si>
  <si>
    <t>owlasmemail</t>
  </si>
  <si>
    <t>asm_email</t>
  </si>
  <si>
    <t>panel</t>
  </si>
  <si>
    <t>panel banding</t>
  </si>
  <si>
    <t>partnership t&amp;c manager id</t>
  </si>
  <si>
    <t>aqm_id</t>
  </si>
  <si>
    <t>partnership t&amp;c manager name</t>
  </si>
  <si>
    <t>aqm_name</t>
  </si>
  <si>
    <t>partnership t&amp;c supervisor id</t>
  </si>
  <si>
    <t>bqm_id</t>
  </si>
  <si>
    <t>partnership t&amp;c supervisor name</t>
  </si>
  <si>
    <t>bqm_name</t>
  </si>
  <si>
    <t>pdm</t>
  </si>
  <si>
    <t>pdm area</t>
  </si>
  <si>
    <t>pdm_area</t>
  </si>
  <si>
    <t>portal code</t>
  </si>
  <si>
    <t>portal_code</t>
  </si>
  <si>
    <t>postcode</t>
  </si>
  <si>
    <t>primary email address</t>
  </si>
  <si>
    <t>email</t>
  </si>
  <si>
    <t>principal role start date</t>
  </si>
  <si>
    <t>principal_role_start_date</t>
  </si>
  <si>
    <t>qrm</t>
  </si>
  <si>
    <t>reason for leaving</t>
  </si>
  <si>
    <t>reason_for_leaving</t>
  </si>
  <si>
    <t>recruitment source</t>
  </si>
  <si>
    <t>recruitment_source</t>
  </si>
  <si>
    <t>region</t>
  </si>
  <si>
    <t>seller role (yes / no)</t>
  </si>
  <si>
    <t>is_seller_role</t>
  </si>
  <si>
    <t>seller type</t>
  </si>
  <si>
    <t>seller_type</t>
  </si>
  <si>
    <t>specialist licences held (yes/no)</t>
  </si>
  <si>
    <t>sps certification (wealth only)</t>
  </si>
  <si>
    <t>sps renewal date</t>
  </si>
  <si>
    <t>suspension</t>
  </si>
  <si>
    <t>salutation</t>
  </si>
  <si>
    <t>swift status</t>
  </si>
  <si>
    <t>swift_status</t>
  </si>
  <si>
    <t>telephone number</t>
  </si>
  <si>
    <t>telephone_number</t>
  </si>
  <si>
    <t>uid</t>
  </si>
  <si>
    <t>staff_id</t>
  </si>
  <si>
    <t>pk</t>
  </si>
  <si>
    <t>not null</t>
  </si>
  <si>
    <t>child_database_name</t>
  </si>
  <si>
    <t>child_table_name</t>
  </si>
  <si>
    <t>child_column_name</t>
  </si>
  <si>
    <t>parent_database_name</t>
  </si>
  <si>
    <t>parent_table_name</t>
  </si>
  <si>
    <t>parent_column_name</t>
  </si>
  <si>
    <t>column_number</t>
  </si>
  <si>
    <t>ref_grp</t>
  </si>
  <si>
    <t>staff_sk</t>
  </si>
  <si>
    <t>ss1</t>
  </si>
  <si>
    <t>esm_sk</t>
  </si>
  <si>
    <t>ss2</t>
  </si>
  <si>
    <t>asm_sk</t>
  </si>
  <si>
    <t>ss3</t>
  </si>
  <si>
    <t>supervisor_sk</t>
  </si>
  <si>
    <t>ss4</t>
  </si>
  <si>
    <t>staff_address</t>
  </si>
  <si>
    <t>address_id</t>
  </si>
  <si>
    <t>sa1</t>
  </si>
  <si>
    <t>Date</t>
  </si>
  <si>
    <t>is_null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</si>
</sst>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9"/>
  <sheetViews>
    <sheetView topLeftCell="A64" workbookViewId="0">
      <selection activeCell="I10" sqref="I10"/>
    </sheetView>
  </sheetViews>
  <sheetFormatPr defaultRowHeight="14.5" x14ac:dyDescent="0.35"/>
  <cols>
    <col min="1" max="1" width="32" bestFit="1" customWidth="1"/>
    <col min="2" max="2" width="12.54296875" bestFit="1" customWidth="1"/>
    <col min="5" max="5" width="30.54296875" bestFit="1" customWidth="1"/>
  </cols>
  <sheetData>
    <row r="1" spans="1:5" x14ac:dyDescent="0.35">
      <c r="A1" t="s">
        <v>0</v>
      </c>
      <c r="B1" t="s">
        <v>1</v>
      </c>
      <c r="C1" t="s">
        <v>2</v>
      </c>
      <c r="E1" t="s">
        <v>3</v>
      </c>
    </row>
    <row r="2" spans="1:5" x14ac:dyDescent="0.35">
      <c r="A2" t="s">
        <v>4</v>
      </c>
      <c r="B2">
        <v>1</v>
      </c>
      <c r="C2" t="s">
        <v>5</v>
      </c>
      <c r="E2" t="str">
        <f t="shared" ref="E2:E33" si="0">LOWER(A2)</f>
        <v>ar agent type</v>
      </c>
    </row>
    <row r="3" spans="1:5" x14ac:dyDescent="0.35">
      <c r="A3" t="s">
        <v>6</v>
      </c>
      <c r="B3">
        <v>1</v>
      </c>
      <c r="C3" t="s">
        <v>7</v>
      </c>
      <c r="E3" t="str">
        <f t="shared" si="0"/>
        <v>address line 1</v>
      </c>
    </row>
    <row r="4" spans="1:5" x14ac:dyDescent="0.35">
      <c r="A4" t="s">
        <v>8</v>
      </c>
      <c r="B4">
        <v>1</v>
      </c>
      <c r="C4" t="s">
        <v>7</v>
      </c>
      <c r="E4" t="str">
        <f t="shared" si="0"/>
        <v>address line 2</v>
      </c>
    </row>
    <row r="5" spans="1:5" x14ac:dyDescent="0.35">
      <c r="A5" t="s">
        <v>9</v>
      </c>
      <c r="B5">
        <v>1</v>
      </c>
      <c r="C5" t="s">
        <v>7</v>
      </c>
      <c r="E5" t="str">
        <f t="shared" si="0"/>
        <v>address line 3</v>
      </c>
    </row>
    <row r="6" spans="1:5" x14ac:dyDescent="0.35">
      <c r="A6" t="s">
        <v>10</v>
      </c>
      <c r="B6">
        <v>1</v>
      </c>
      <c r="C6" t="s">
        <v>7</v>
      </c>
      <c r="E6" t="str">
        <f t="shared" si="0"/>
        <v>address line 4</v>
      </c>
    </row>
    <row r="7" spans="1:5" x14ac:dyDescent="0.35">
      <c r="A7" t="s">
        <v>11</v>
      </c>
      <c r="B7">
        <v>1</v>
      </c>
      <c r="C7" t="s">
        <v>7</v>
      </c>
      <c r="E7" t="str">
        <f t="shared" si="0"/>
        <v>address line 5</v>
      </c>
    </row>
    <row r="8" spans="1:5" x14ac:dyDescent="0.35">
      <c r="A8" t="s">
        <v>12</v>
      </c>
      <c r="B8">
        <v>1</v>
      </c>
      <c r="C8" t="s">
        <v>13</v>
      </c>
      <c r="E8" t="str">
        <f t="shared" si="0"/>
        <v>agent type code</v>
      </c>
    </row>
    <row r="9" spans="1:5" x14ac:dyDescent="0.35">
      <c r="A9" t="s">
        <v>14</v>
      </c>
      <c r="B9">
        <v>1</v>
      </c>
      <c r="C9" t="s">
        <v>5</v>
      </c>
      <c r="E9" t="str">
        <f t="shared" si="0"/>
        <v>area sales manager (asm) name lv1</v>
      </c>
    </row>
    <row r="10" spans="1:5" x14ac:dyDescent="0.35">
      <c r="A10" t="s">
        <v>15</v>
      </c>
      <c r="B10">
        <v>1</v>
      </c>
      <c r="C10" t="s">
        <v>5</v>
      </c>
      <c r="E10" t="str">
        <f t="shared" si="0"/>
        <v>area sales manager (asm) uid lv1</v>
      </c>
    </row>
    <row r="11" spans="1:5" x14ac:dyDescent="0.35">
      <c r="A11" t="s">
        <v>16</v>
      </c>
      <c r="B11">
        <v>1</v>
      </c>
      <c r="C11" t="s">
        <v>17</v>
      </c>
      <c r="E11" t="str">
        <f t="shared" si="0"/>
        <v>business area</v>
      </c>
    </row>
    <row r="12" spans="1:5" x14ac:dyDescent="0.35">
      <c r="A12" t="s">
        <v>18</v>
      </c>
      <c r="B12">
        <v>1</v>
      </c>
      <c r="C12" t="s">
        <v>5</v>
      </c>
      <c r="E12" t="str">
        <f t="shared" si="0"/>
        <v xml:space="preserve">business development manager </v>
      </c>
    </row>
    <row r="13" spans="1:5" x14ac:dyDescent="0.35">
      <c r="A13" t="s">
        <v>19</v>
      </c>
      <c r="B13">
        <v>1</v>
      </c>
      <c r="C13" t="s">
        <v>20</v>
      </c>
      <c r="E13" t="str">
        <f t="shared" si="0"/>
        <v>cf30 status</v>
      </c>
    </row>
    <row r="14" spans="1:5" x14ac:dyDescent="0.35">
      <c r="A14" t="s">
        <v>21</v>
      </c>
      <c r="B14">
        <v>1</v>
      </c>
      <c r="C14" t="s">
        <v>22</v>
      </c>
      <c r="E14" t="str">
        <f t="shared" si="0"/>
        <v>category code</v>
      </c>
    </row>
    <row r="15" spans="1:5" x14ac:dyDescent="0.35">
      <c r="A15" t="s">
        <v>23</v>
      </c>
      <c r="B15">
        <v>1</v>
      </c>
      <c r="C15" t="s">
        <v>5</v>
      </c>
      <c r="E15" t="str">
        <f t="shared" si="0"/>
        <v>category name</v>
      </c>
    </row>
    <row r="16" spans="1:5" x14ac:dyDescent="0.35">
      <c r="A16" t="s">
        <v>24</v>
      </c>
      <c r="B16">
        <v>1</v>
      </c>
      <c r="C16" t="s">
        <v>25</v>
      </c>
      <c r="E16" t="str">
        <f t="shared" si="0"/>
        <v>channel</v>
      </c>
    </row>
    <row r="17" spans="1:5" x14ac:dyDescent="0.35">
      <c r="A17" t="s">
        <v>26</v>
      </c>
      <c r="B17">
        <v>1</v>
      </c>
      <c r="C17" t="s">
        <v>27</v>
      </c>
      <c r="E17" t="str">
        <f t="shared" si="0"/>
        <v>combined name</v>
      </c>
    </row>
    <row r="18" spans="1:5" x14ac:dyDescent="0.35">
      <c r="A18" t="s">
        <v>28</v>
      </c>
      <c r="B18">
        <v>1</v>
      </c>
      <c r="C18" t="s">
        <v>29</v>
      </c>
      <c r="E18" t="str">
        <f t="shared" si="0"/>
        <v>competency achieved date</v>
      </c>
    </row>
    <row r="19" spans="1:5" x14ac:dyDescent="0.35">
      <c r="A19" t="s">
        <v>30</v>
      </c>
      <c r="B19">
        <v>1</v>
      </c>
      <c r="C19" t="s">
        <v>31</v>
      </c>
      <c r="E19" t="str">
        <f t="shared" si="0"/>
        <v>contact forename</v>
      </c>
    </row>
    <row r="20" spans="1:5" x14ac:dyDescent="0.35">
      <c r="A20" t="s">
        <v>32</v>
      </c>
      <c r="B20">
        <v>1</v>
      </c>
      <c r="C20" t="s">
        <v>31</v>
      </c>
      <c r="E20" t="str">
        <f t="shared" si="0"/>
        <v>contact surname</v>
      </c>
    </row>
    <row r="21" spans="1:5" x14ac:dyDescent="0.35">
      <c r="A21" t="s">
        <v>33</v>
      </c>
      <c r="B21">
        <v>1</v>
      </c>
      <c r="C21" t="s">
        <v>7</v>
      </c>
      <c r="E21" t="str">
        <f t="shared" si="0"/>
        <v>contact title</v>
      </c>
    </row>
    <row r="22" spans="1:5" x14ac:dyDescent="0.35">
      <c r="A22" t="s">
        <v>34</v>
      </c>
      <c r="B22">
        <v>1</v>
      </c>
      <c r="C22" t="s">
        <v>7</v>
      </c>
      <c r="E22" t="str">
        <f t="shared" si="0"/>
        <v>country</v>
      </c>
    </row>
    <row r="23" spans="1:5" x14ac:dyDescent="0.35">
      <c r="A23" t="s">
        <v>35</v>
      </c>
      <c r="B23">
        <v>1</v>
      </c>
      <c r="C23" t="s">
        <v>29</v>
      </c>
      <c r="E23" t="str">
        <f t="shared" si="0"/>
        <v>date joined  partnership</v>
      </c>
    </row>
    <row r="24" spans="1:5" x14ac:dyDescent="0.35">
      <c r="A24" t="s">
        <v>36</v>
      </c>
      <c r="B24">
        <v>1</v>
      </c>
      <c r="C24" t="s">
        <v>29</v>
      </c>
      <c r="E24" t="str">
        <f t="shared" si="0"/>
        <v>date joined firm</v>
      </c>
    </row>
    <row r="25" spans="1:5" x14ac:dyDescent="0.35">
      <c r="A25" t="s">
        <v>37</v>
      </c>
      <c r="B25">
        <v>1</v>
      </c>
      <c r="C25" t="s">
        <v>29</v>
      </c>
      <c r="E25" t="str">
        <f t="shared" si="0"/>
        <v>date left firm</v>
      </c>
    </row>
    <row r="26" spans="1:5" x14ac:dyDescent="0.35">
      <c r="A26" t="s">
        <v>38</v>
      </c>
      <c r="B26">
        <v>1</v>
      </c>
      <c r="C26" t="s">
        <v>29</v>
      </c>
      <c r="E26" t="str">
        <f t="shared" si="0"/>
        <v>date left partnership</v>
      </c>
    </row>
    <row r="27" spans="1:5" x14ac:dyDescent="0.35">
      <c r="A27" t="s">
        <v>39</v>
      </c>
      <c r="B27">
        <v>1</v>
      </c>
      <c r="C27" t="s">
        <v>29</v>
      </c>
      <c r="E27" t="str">
        <f t="shared" si="0"/>
        <v>date transferred</v>
      </c>
    </row>
    <row r="28" spans="1:5" x14ac:dyDescent="0.35">
      <c r="A28" t="s">
        <v>40</v>
      </c>
      <c r="B28">
        <v>1</v>
      </c>
      <c r="C28" t="s">
        <v>29</v>
      </c>
      <c r="E28" t="str">
        <f t="shared" si="0"/>
        <v>date of birth</v>
      </c>
    </row>
    <row r="29" spans="1:5" x14ac:dyDescent="0.35">
      <c r="A29" t="s">
        <v>41</v>
      </c>
      <c r="B29">
        <v>1</v>
      </c>
      <c r="C29" t="s">
        <v>5</v>
      </c>
      <c r="E29" t="str">
        <f t="shared" si="0"/>
        <v>employment status</v>
      </c>
    </row>
    <row r="30" spans="1:5" x14ac:dyDescent="0.35">
      <c r="A30" t="s">
        <v>42</v>
      </c>
      <c r="B30">
        <v>1</v>
      </c>
      <c r="C30" t="s">
        <v>13</v>
      </c>
      <c r="E30" t="str">
        <f t="shared" si="0"/>
        <v>employment type</v>
      </c>
    </row>
    <row r="31" spans="1:5" x14ac:dyDescent="0.35">
      <c r="A31" t="s">
        <v>43</v>
      </c>
      <c r="B31">
        <v>1</v>
      </c>
      <c r="C31" t="s">
        <v>5</v>
      </c>
      <c r="E31" t="str">
        <f t="shared" si="0"/>
        <v>enterprise sales manager id</v>
      </c>
    </row>
    <row r="32" spans="1:5" x14ac:dyDescent="0.35">
      <c r="A32" t="s">
        <v>44</v>
      </c>
      <c r="B32">
        <v>1</v>
      </c>
      <c r="C32" t="s">
        <v>5</v>
      </c>
      <c r="E32" t="str">
        <f t="shared" si="0"/>
        <v>enterprise sales manager name</v>
      </c>
    </row>
    <row r="33" spans="1:5" x14ac:dyDescent="0.35">
      <c r="A33" t="s">
        <v>45</v>
      </c>
      <c r="B33">
        <v>1</v>
      </c>
      <c r="C33" t="s">
        <v>5</v>
      </c>
      <c r="E33" t="str">
        <f t="shared" si="0"/>
        <v>fca registration number</v>
      </c>
    </row>
    <row r="34" spans="1:5" x14ac:dyDescent="0.35">
      <c r="A34" t="s">
        <v>46</v>
      </c>
      <c r="B34">
        <v>1</v>
      </c>
      <c r="C34" t="s">
        <v>27</v>
      </c>
      <c r="E34" t="str">
        <f t="shared" ref="E34:E65" si="1">LOWER(A34)</f>
        <v>firm legal name</v>
      </c>
    </row>
    <row r="35" spans="1:5" x14ac:dyDescent="0.35">
      <c r="A35" t="s">
        <v>47</v>
      </c>
      <c r="B35">
        <v>1</v>
      </c>
      <c r="C35" t="s">
        <v>20</v>
      </c>
      <c r="E35" t="str">
        <f t="shared" si="1"/>
        <v>firm segment</v>
      </c>
    </row>
    <row r="36" spans="1:5" x14ac:dyDescent="0.35">
      <c r="A36" t="s">
        <v>48</v>
      </c>
      <c r="B36">
        <v>1</v>
      </c>
      <c r="C36" t="s">
        <v>5</v>
      </c>
      <c r="E36" t="str">
        <f t="shared" si="1"/>
        <v>firm supervisor id</v>
      </c>
    </row>
    <row r="37" spans="1:5" x14ac:dyDescent="0.35">
      <c r="A37" t="s">
        <v>49</v>
      </c>
      <c r="B37">
        <v>1</v>
      </c>
      <c r="C37" t="s">
        <v>5</v>
      </c>
      <c r="E37" t="str">
        <f t="shared" si="1"/>
        <v>firm supervisor name</v>
      </c>
    </row>
    <row r="38" spans="1:5" x14ac:dyDescent="0.35">
      <c r="A38" t="s">
        <v>50</v>
      </c>
      <c r="B38">
        <v>1</v>
      </c>
      <c r="C38" t="s">
        <v>27</v>
      </c>
      <c r="E38" t="str">
        <f t="shared" si="1"/>
        <v>firm trading name</v>
      </c>
    </row>
    <row r="39" spans="1:5" x14ac:dyDescent="0.35">
      <c r="A39" t="s">
        <v>51</v>
      </c>
      <c r="B39">
        <v>1</v>
      </c>
      <c r="C39" t="s">
        <v>25</v>
      </c>
      <c r="E39" t="str">
        <f t="shared" si="1"/>
        <v>firm uid</v>
      </c>
    </row>
    <row r="40" spans="1:5" x14ac:dyDescent="0.35">
      <c r="A40" t="s">
        <v>52</v>
      </c>
      <c r="B40">
        <v>1</v>
      </c>
      <c r="C40" t="s">
        <v>31</v>
      </c>
      <c r="E40" t="str">
        <f t="shared" si="1"/>
        <v>first name</v>
      </c>
    </row>
    <row r="41" spans="1:5" x14ac:dyDescent="0.35">
      <c r="A41" t="s">
        <v>53</v>
      </c>
      <c r="B41">
        <v>1</v>
      </c>
      <c r="C41" t="s">
        <v>54</v>
      </c>
      <c r="E41" t="str">
        <f t="shared" si="1"/>
        <v>gender</v>
      </c>
    </row>
    <row r="42" spans="1:5" x14ac:dyDescent="0.35">
      <c r="A42" t="s">
        <v>55</v>
      </c>
      <c r="B42">
        <v>1</v>
      </c>
      <c r="C42" t="s">
        <v>54</v>
      </c>
      <c r="E42" t="str">
        <f t="shared" si="1"/>
        <v>gives advice  (yes/no)</v>
      </c>
    </row>
    <row r="43" spans="1:5" x14ac:dyDescent="0.35">
      <c r="A43" t="s">
        <v>56</v>
      </c>
      <c r="B43">
        <v>1</v>
      </c>
      <c r="C43" t="s">
        <v>5</v>
      </c>
      <c r="E43" t="str">
        <f t="shared" si="1"/>
        <v>insight contract status</v>
      </c>
    </row>
    <row r="44" spans="1:5" x14ac:dyDescent="0.35">
      <c r="A44" t="s">
        <v>57</v>
      </c>
      <c r="B44">
        <v>1</v>
      </c>
      <c r="C44" t="s">
        <v>27</v>
      </c>
      <c r="E44" t="str">
        <f t="shared" si="1"/>
        <v>introducer</v>
      </c>
    </row>
    <row r="45" spans="1:5" x14ac:dyDescent="0.35">
      <c r="A45" t="s">
        <v>58</v>
      </c>
      <c r="B45">
        <v>1</v>
      </c>
      <c r="C45" t="s">
        <v>59</v>
      </c>
      <c r="E45" t="str">
        <f t="shared" si="1"/>
        <v>introducer uid</v>
      </c>
    </row>
    <row r="46" spans="1:5" x14ac:dyDescent="0.35">
      <c r="A46" t="s">
        <v>60</v>
      </c>
      <c r="B46">
        <v>1</v>
      </c>
      <c r="C46" t="s">
        <v>5</v>
      </c>
      <c r="E46" t="str">
        <f t="shared" si="1"/>
        <v>is asm (yes/no)</v>
      </c>
    </row>
    <row r="47" spans="1:5" x14ac:dyDescent="0.35">
      <c r="A47" t="s">
        <v>61</v>
      </c>
      <c r="B47">
        <v>1</v>
      </c>
      <c r="C47" t="s">
        <v>5</v>
      </c>
      <c r="E47" t="str">
        <f t="shared" si="1"/>
        <v>is esm (yes/no)</v>
      </c>
    </row>
    <row r="48" spans="1:5" x14ac:dyDescent="0.35">
      <c r="A48" t="s">
        <v>62</v>
      </c>
      <c r="B48">
        <v>1</v>
      </c>
      <c r="C48" t="s">
        <v>5</v>
      </c>
      <c r="E48" t="str">
        <f t="shared" si="1"/>
        <v>is principle (of firm)</v>
      </c>
    </row>
    <row r="49" spans="1:5" x14ac:dyDescent="0.35">
      <c r="A49" t="s">
        <v>63</v>
      </c>
      <c r="B49">
        <v>1</v>
      </c>
      <c r="C49" t="s">
        <v>5</v>
      </c>
      <c r="E49" t="str">
        <f t="shared" si="1"/>
        <v>is supervisor (yes / no)</v>
      </c>
    </row>
    <row r="50" spans="1:5" x14ac:dyDescent="0.35">
      <c r="A50" t="s">
        <v>64</v>
      </c>
      <c r="B50">
        <v>1</v>
      </c>
      <c r="C50" t="s">
        <v>27</v>
      </c>
      <c r="E50" t="str">
        <f t="shared" si="1"/>
        <v>job title</v>
      </c>
    </row>
    <row r="51" spans="1:5" x14ac:dyDescent="0.35">
      <c r="A51" t="s">
        <v>65</v>
      </c>
      <c r="B51">
        <v>1</v>
      </c>
      <c r="C51" t="s">
        <v>31</v>
      </c>
      <c r="E51" t="str">
        <f t="shared" si="1"/>
        <v>last name</v>
      </c>
    </row>
    <row r="52" spans="1:5" x14ac:dyDescent="0.35">
      <c r="A52" t="s">
        <v>66</v>
      </c>
      <c r="B52">
        <v>1</v>
      </c>
      <c r="C52" t="s">
        <v>67</v>
      </c>
      <c r="E52" t="str">
        <f t="shared" si="1"/>
        <v>mobile telephone number</v>
      </c>
    </row>
    <row r="53" spans="1:5" x14ac:dyDescent="0.35">
      <c r="A53" t="s">
        <v>68</v>
      </c>
      <c r="B53">
        <v>1</v>
      </c>
      <c r="C53" t="s">
        <v>69</v>
      </c>
      <c r="E53" t="str">
        <f t="shared" si="1"/>
        <v>months active</v>
      </c>
    </row>
    <row r="54" spans="1:5" x14ac:dyDescent="0.35">
      <c r="A54" t="s">
        <v>70</v>
      </c>
      <c r="B54">
        <v>1</v>
      </c>
      <c r="C54" t="s">
        <v>71</v>
      </c>
      <c r="E54" t="str">
        <f t="shared" si="1"/>
        <v>nino</v>
      </c>
    </row>
    <row r="55" spans="1:5" x14ac:dyDescent="0.35">
      <c r="A55" t="s">
        <v>72</v>
      </c>
      <c r="B55">
        <v>1</v>
      </c>
      <c r="C55" t="s">
        <v>5</v>
      </c>
      <c r="E55" t="str">
        <f t="shared" si="1"/>
        <v>nationality</v>
      </c>
    </row>
    <row r="56" spans="1:5" x14ac:dyDescent="0.35">
      <c r="A56" t="s">
        <v>73</v>
      </c>
      <c r="B56">
        <v>1</v>
      </c>
      <c r="C56" t="s">
        <v>74</v>
      </c>
      <c r="E56" t="str">
        <f t="shared" si="1"/>
        <v>new/experienced</v>
      </c>
    </row>
    <row r="57" spans="1:5" x14ac:dyDescent="0.35">
      <c r="A57" t="s">
        <v>75</v>
      </c>
      <c r="B57">
        <v>1</v>
      </c>
      <c r="C57" t="s">
        <v>29</v>
      </c>
      <c r="E57" t="str">
        <f t="shared" si="1"/>
        <v>notice given</v>
      </c>
    </row>
    <row r="58" spans="1:5" x14ac:dyDescent="0.35">
      <c r="A58" t="s">
        <v>76</v>
      </c>
      <c r="B58">
        <v>1</v>
      </c>
      <c r="C58" t="s">
        <v>5</v>
      </c>
      <c r="E58" t="str">
        <f t="shared" si="1"/>
        <v>owlasmemail</v>
      </c>
    </row>
    <row r="59" spans="1:5" x14ac:dyDescent="0.35">
      <c r="A59" t="s">
        <v>77</v>
      </c>
      <c r="B59">
        <v>1</v>
      </c>
      <c r="C59" t="s">
        <v>20</v>
      </c>
      <c r="E59" t="str">
        <f t="shared" si="1"/>
        <v>pdm</v>
      </c>
    </row>
    <row r="60" spans="1:5" x14ac:dyDescent="0.35">
      <c r="A60" t="s">
        <v>78</v>
      </c>
      <c r="B60">
        <v>1</v>
      </c>
      <c r="C60" t="s">
        <v>20</v>
      </c>
      <c r="E60" t="str">
        <f t="shared" si="1"/>
        <v>pdm area</v>
      </c>
    </row>
    <row r="61" spans="1:5" x14ac:dyDescent="0.35">
      <c r="A61" t="s">
        <v>79</v>
      </c>
      <c r="B61">
        <v>1</v>
      </c>
      <c r="C61" t="s">
        <v>20</v>
      </c>
      <c r="E61" t="str">
        <f t="shared" si="1"/>
        <v>panel</v>
      </c>
    </row>
    <row r="62" spans="1:5" x14ac:dyDescent="0.35">
      <c r="A62" t="s">
        <v>80</v>
      </c>
      <c r="B62">
        <v>1</v>
      </c>
      <c r="C62" t="s">
        <v>5</v>
      </c>
      <c r="E62" t="str">
        <f t="shared" si="1"/>
        <v>partnership t&amp;c manager id</v>
      </c>
    </row>
    <row r="63" spans="1:5" x14ac:dyDescent="0.35">
      <c r="A63" t="s">
        <v>81</v>
      </c>
      <c r="B63">
        <v>1</v>
      </c>
      <c r="C63" t="s">
        <v>5</v>
      </c>
      <c r="E63" t="str">
        <f t="shared" si="1"/>
        <v>partnership t&amp;c manager name</v>
      </c>
    </row>
    <row r="64" spans="1:5" x14ac:dyDescent="0.35">
      <c r="A64" t="s">
        <v>82</v>
      </c>
      <c r="B64">
        <v>1</v>
      </c>
      <c r="C64" t="s">
        <v>5</v>
      </c>
      <c r="E64" t="str">
        <f t="shared" si="1"/>
        <v>partnership t&amp;c supervisor id</v>
      </c>
    </row>
    <row r="65" spans="1:5" x14ac:dyDescent="0.35">
      <c r="A65" t="s">
        <v>83</v>
      </c>
      <c r="B65">
        <v>1</v>
      </c>
      <c r="C65" t="s">
        <v>5</v>
      </c>
      <c r="E65" t="str">
        <f t="shared" si="1"/>
        <v>partnership t&amp;c supervisor name</v>
      </c>
    </row>
    <row r="66" spans="1:5" x14ac:dyDescent="0.35">
      <c r="A66" t="s">
        <v>84</v>
      </c>
      <c r="B66">
        <v>1</v>
      </c>
      <c r="C66" t="s">
        <v>67</v>
      </c>
      <c r="E66" t="str">
        <f t="shared" ref="E66:E79" si="2">LOWER(A66)</f>
        <v>portal code</v>
      </c>
    </row>
    <row r="67" spans="1:5" x14ac:dyDescent="0.35">
      <c r="A67" t="s">
        <v>85</v>
      </c>
      <c r="B67">
        <v>1</v>
      </c>
      <c r="C67" t="s">
        <v>59</v>
      </c>
      <c r="E67" t="str">
        <f t="shared" si="2"/>
        <v>postcode</v>
      </c>
    </row>
    <row r="68" spans="1:5" x14ac:dyDescent="0.35">
      <c r="A68" t="s">
        <v>86</v>
      </c>
      <c r="B68">
        <v>1</v>
      </c>
      <c r="C68" t="s">
        <v>5</v>
      </c>
      <c r="E68" t="str">
        <f t="shared" si="2"/>
        <v>primary email address</v>
      </c>
    </row>
    <row r="69" spans="1:5" x14ac:dyDescent="0.35">
      <c r="A69" t="s">
        <v>87</v>
      </c>
      <c r="B69">
        <v>1</v>
      </c>
      <c r="C69" t="s">
        <v>29</v>
      </c>
      <c r="E69" t="str">
        <f t="shared" si="2"/>
        <v>principal role start date</v>
      </c>
    </row>
    <row r="70" spans="1:5" x14ac:dyDescent="0.35">
      <c r="A70" t="s">
        <v>88</v>
      </c>
      <c r="B70">
        <v>1</v>
      </c>
      <c r="C70" t="s">
        <v>5</v>
      </c>
      <c r="E70" t="str">
        <f t="shared" si="2"/>
        <v>qrm</v>
      </c>
    </row>
    <row r="71" spans="1:5" x14ac:dyDescent="0.35">
      <c r="A71" t="s">
        <v>89</v>
      </c>
      <c r="B71">
        <v>1</v>
      </c>
      <c r="C71" t="s">
        <v>90</v>
      </c>
      <c r="E71" t="str">
        <f t="shared" si="2"/>
        <v>reason for leaving</v>
      </c>
    </row>
    <row r="72" spans="1:5" x14ac:dyDescent="0.35">
      <c r="A72" t="s">
        <v>91</v>
      </c>
      <c r="B72">
        <v>1</v>
      </c>
      <c r="C72" t="s">
        <v>92</v>
      </c>
      <c r="E72" t="str">
        <f t="shared" si="2"/>
        <v>recruitment source</v>
      </c>
    </row>
    <row r="73" spans="1:5" x14ac:dyDescent="0.35">
      <c r="A73" t="s">
        <v>93</v>
      </c>
      <c r="B73">
        <v>1</v>
      </c>
      <c r="C73" t="s">
        <v>90</v>
      </c>
      <c r="E73" t="str">
        <f t="shared" si="2"/>
        <v>region</v>
      </c>
    </row>
    <row r="74" spans="1:5" x14ac:dyDescent="0.35">
      <c r="A74" t="s">
        <v>94</v>
      </c>
      <c r="B74">
        <v>1</v>
      </c>
      <c r="C74" t="s">
        <v>54</v>
      </c>
      <c r="E74" t="str">
        <f t="shared" si="2"/>
        <v>seller role (yes / no)</v>
      </c>
    </row>
    <row r="75" spans="1:5" x14ac:dyDescent="0.35">
      <c r="A75" t="s">
        <v>95</v>
      </c>
      <c r="B75">
        <v>1</v>
      </c>
      <c r="C75" t="s">
        <v>69</v>
      </c>
      <c r="E75" t="str">
        <f t="shared" si="2"/>
        <v>seller type</v>
      </c>
    </row>
    <row r="76" spans="1:5" x14ac:dyDescent="0.35">
      <c r="A76" t="s">
        <v>96</v>
      </c>
      <c r="B76">
        <v>1</v>
      </c>
      <c r="C76" t="s">
        <v>7</v>
      </c>
      <c r="E76" t="str">
        <f t="shared" si="2"/>
        <v>suspension</v>
      </c>
    </row>
    <row r="77" spans="1:5" x14ac:dyDescent="0.35">
      <c r="A77" t="s">
        <v>97</v>
      </c>
      <c r="B77">
        <v>1</v>
      </c>
      <c r="C77" t="s">
        <v>67</v>
      </c>
      <c r="E77" t="str">
        <f t="shared" si="2"/>
        <v>swift status</v>
      </c>
    </row>
    <row r="78" spans="1:5" x14ac:dyDescent="0.35">
      <c r="A78" t="s">
        <v>98</v>
      </c>
      <c r="B78">
        <v>1</v>
      </c>
      <c r="C78" t="s">
        <v>99</v>
      </c>
      <c r="E78" t="str">
        <f t="shared" si="2"/>
        <v>telephone number</v>
      </c>
    </row>
    <row r="79" spans="1:5" x14ac:dyDescent="0.35">
      <c r="A79" t="s">
        <v>100</v>
      </c>
      <c r="B79">
        <v>1</v>
      </c>
      <c r="C79" t="s">
        <v>25</v>
      </c>
      <c r="E79" t="str">
        <f t="shared" si="2"/>
        <v>uid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3"/>
  <sheetViews>
    <sheetView workbookViewId="0"/>
  </sheetViews>
  <sheetFormatPr defaultRowHeight="14.5" x14ac:dyDescent="0.35"/>
  <cols>
    <col min="1" max="1" width="32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6</v>
      </c>
      <c r="B2">
        <v>1</v>
      </c>
      <c r="C2" t="s">
        <v>7</v>
      </c>
    </row>
    <row r="3" spans="1:3" x14ac:dyDescent="0.35">
      <c r="A3" t="s">
        <v>6</v>
      </c>
      <c r="B3">
        <v>1</v>
      </c>
      <c r="C3" t="s">
        <v>25</v>
      </c>
    </row>
    <row r="4" spans="1:3" x14ac:dyDescent="0.35">
      <c r="A4" t="s">
        <v>6</v>
      </c>
      <c r="B4">
        <v>1</v>
      </c>
      <c r="C4" t="s">
        <v>7</v>
      </c>
    </row>
    <row r="5" spans="1:3" x14ac:dyDescent="0.35">
      <c r="A5" t="s">
        <v>6</v>
      </c>
      <c r="B5">
        <v>1</v>
      </c>
      <c r="C5" t="s">
        <v>25</v>
      </c>
    </row>
    <row r="6" spans="1:3" x14ac:dyDescent="0.35">
      <c r="A6" t="s">
        <v>8</v>
      </c>
      <c r="B6">
        <v>1</v>
      </c>
      <c r="C6" t="s">
        <v>7</v>
      </c>
    </row>
    <row r="7" spans="1:3" x14ac:dyDescent="0.35">
      <c r="A7" t="s">
        <v>8</v>
      </c>
      <c r="B7">
        <v>1</v>
      </c>
      <c r="C7" t="s">
        <v>25</v>
      </c>
    </row>
    <row r="8" spans="1:3" x14ac:dyDescent="0.35">
      <c r="A8" t="s">
        <v>8</v>
      </c>
      <c r="B8">
        <v>1</v>
      </c>
      <c r="C8" t="s">
        <v>7</v>
      </c>
    </row>
    <row r="9" spans="1:3" x14ac:dyDescent="0.35">
      <c r="A9" t="s">
        <v>8</v>
      </c>
      <c r="B9">
        <v>1</v>
      </c>
      <c r="C9" t="s">
        <v>25</v>
      </c>
    </row>
    <row r="10" spans="1:3" x14ac:dyDescent="0.35">
      <c r="A10" t="s">
        <v>9</v>
      </c>
      <c r="B10">
        <v>1</v>
      </c>
      <c r="C10" t="s">
        <v>7</v>
      </c>
    </row>
    <row r="11" spans="1:3" x14ac:dyDescent="0.35">
      <c r="A11" t="s">
        <v>9</v>
      </c>
      <c r="B11">
        <v>1</v>
      </c>
      <c r="C11" t="s">
        <v>25</v>
      </c>
    </row>
    <row r="12" spans="1:3" x14ac:dyDescent="0.35">
      <c r="A12" t="s">
        <v>9</v>
      </c>
      <c r="B12">
        <v>1</v>
      </c>
      <c r="C12" t="s">
        <v>7</v>
      </c>
    </row>
    <row r="13" spans="1:3" x14ac:dyDescent="0.35">
      <c r="A13" t="s">
        <v>9</v>
      </c>
      <c r="B13">
        <v>1</v>
      </c>
      <c r="C13" t="s">
        <v>25</v>
      </c>
    </row>
    <row r="14" spans="1:3" x14ac:dyDescent="0.35">
      <c r="A14" t="s">
        <v>10</v>
      </c>
      <c r="B14">
        <v>1</v>
      </c>
      <c r="C14" t="s">
        <v>7</v>
      </c>
    </row>
    <row r="15" spans="1:3" x14ac:dyDescent="0.35">
      <c r="A15" t="s">
        <v>10</v>
      </c>
      <c r="B15">
        <v>1</v>
      </c>
      <c r="C15" t="s">
        <v>25</v>
      </c>
    </row>
    <row r="16" spans="1:3" x14ac:dyDescent="0.35">
      <c r="A16" t="s">
        <v>10</v>
      </c>
      <c r="B16">
        <v>1</v>
      </c>
      <c r="C16" t="s">
        <v>7</v>
      </c>
    </row>
    <row r="17" spans="1:3" x14ac:dyDescent="0.35">
      <c r="A17" t="s">
        <v>10</v>
      </c>
      <c r="B17">
        <v>1</v>
      </c>
      <c r="C17" t="s">
        <v>25</v>
      </c>
    </row>
    <row r="18" spans="1:3" x14ac:dyDescent="0.35">
      <c r="A18" t="s">
        <v>11</v>
      </c>
      <c r="B18">
        <v>1</v>
      </c>
      <c r="C18" t="s">
        <v>7</v>
      </c>
    </row>
    <row r="19" spans="1:3" x14ac:dyDescent="0.35">
      <c r="A19" t="s">
        <v>11</v>
      </c>
      <c r="B19">
        <v>1</v>
      </c>
      <c r="C19" t="s">
        <v>25</v>
      </c>
    </row>
    <row r="20" spans="1:3" x14ac:dyDescent="0.35">
      <c r="A20" t="s">
        <v>11</v>
      </c>
      <c r="B20">
        <v>1</v>
      </c>
      <c r="C20" t="s">
        <v>7</v>
      </c>
    </row>
    <row r="21" spans="1:3" x14ac:dyDescent="0.35">
      <c r="A21" t="s">
        <v>11</v>
      </c>
      <c r="B21">
        <v>1</v>
      </c>
      <c r="C21" t="s">
        <v>25</v>
      </c>
    </row>
    <row r="22" spans="1:3" x14ac:dyDescent="0.35">
      <c r="A22" t="s">
        <v>12</v>
      </c>
      <c r="B22">
        <v>1</v>
      </c>
      <c r="C22" t="s">
        <v>13</v>
      </c>
    </row>
    <row r="23" spans="1:3" x14ac:dyDescent="0.35">
      <c r="A23" t="s">
        <v>100</v>
      </c>
      <c r="B23">
        <v>1</v>
      </c>
      <c r="C23" t="s">
        <v>25</v>
      </c>
    </row>
    <row r="24" spans="1:3" x14ac:dyDescent="0.35">
      <c r="A24" t="s">
        <v>14</v>
      </c>
      <c r="B24">
        <v>1</v>
      </c>
      <c r="C24" t="s">
        <v>5</v>
      </c>
    </row>
    <row r="25" spans="1:3" x14ac:dyDescent="0.35">
      <c r="A25" t="s">
        <v>15</v>
      </c>
      <c r="B25">
        <v>1</v>
      </c>
      <c r="C25" t="s">
        <v>101</v>
      </c>
    </row>
    <row r="26" spans="1:3" x14ac:dyDescent="0.35">
      <c r="A26" t="s">
        <v>18</v>
      </c>
      <c r="B26">
        <v>1</v>
      </c>
      <c r="C26" t="s">
        <v>5</v>
      </c>
    </row>
    <row r="27" spans="1:3" x14ac:dyDescent="0.35">
      <c r="A27" t="s">
        <v>19</v>
      </c>
      <c r="B27">
        <v>1</v>
      </c>
      <c r="C27" t="s">
        <v>20</v>
      </c>
    </row>
    <row r="28" spans="1:3" x14ac:dyDescent="0.35">
      <c r="A28" t="s">
        <v>24</v>
      </c>
      <c r="B28">
        <v>1</v>
      </c>
      <c r="C28" t="s">
        <v>25</v>
      </c>
    </row>
    <row r="29" spans="1:3" x14ac:dyDescent="0.35">
      <c r="A29" t="s">
        <v>26</v>
      </c>
      <c r="B29">
        <v>1</v>
      </c>
      <c r="C29" t="s">
        <v>27</v>
      </c>
    </row>
    <row r="30" spans="1:3" x14ac:dyDescent="0.35">
      <c r="A30" t="s">
        <v>28</v>
      </c>
      <c r="B30">
        <v>1</v>
      </c>
      <c r="C30" t="s">
        <v>29</v>
      </c>
    </row>
    <row r="31" spans="1:3" x14ac:dyDescent="0.35">
      <c r="A31" t="s">
        <v>34</v>
      </c>
      <c r="B31">
        <v>1</v>
      </c>
      <c r="C31" t="s">
        <v>7</v>
      </c>
    </row>
    <row r="32" spans="1:3" x14ac:dyDescent="0.35">
      <c r="A32" t="s">
        <v>34</v>
      </c>
      <c r="B32">
        <v>1</v>
      </c>
      <c r="C32" t="s">
        <v>7</v>
      </c>
    </row>
    <row r="33" spans="1:3" x14ac:dyDescent="0.35">
      <c r="A33" t="s">
        <v>46</v>
      </c>
      <c r="B33">
        <v>1</v>
      </c>
      <c r="C33" t="s">
        <v>27</v>
      </c>
    </row>
    <row r="34" spans="1:3" x14ac:dyDescent="0.35">
      <c r="A34" t="s">
        <v>50</v>
      </c>
      <c r="B34">
        <v>1</v>
      </c>
      <c r="C34" t="s">
        <v>27</v>
      </c>
    </row>
    <row r="35" spans="1:3" x14ac:dyDescent="0.35">
      <c r="A35" t="s">
        <v>51</v>
      </c>
      <c r="B35">
        <v>1</v>
      </c>
      <c r="C35" t="s">
        <v>25</v>
      </c>
    </row>
    <row r="36" spans="1:3" x14ac:dyDescent="0.35">
      <c r="A36" t="s">
        <v>36</v>
      </c>
      <c r="B36">
        <v>1</v>
      </c>
      <c r="C36" t="s">
        <v>29</v>
      </c>
    </row>
    <row r="37" spans="1:3" x14ac:dyDescent="0.35">
      <c r="A37" t="s">
        <v>35</v>
      </c>
      <c r="B37">
        <v>1</v>
      </c>
      <c r="C37" t="s">
        <v>29</v>
      </c>
    </row>
    <row r="38" spans="1:3" x14ac:dyDescent="0.35">
      <c r="A38" t="s">
        <v>37</v>
      </c>
      <c r="B38">
        <v>1</v>
      </c>
      <c r="C38" t="s">
        <v>29</v>
      </c>
    </row>
    <row r="39" spans="1:3" x14ac:dyDescent="0.35">
      <c r="A39" t="s">
        <v>38</v>
      </c>
      <c r="B39">
        <v>1</v>
      </c>
      <c r="C39" t="s">
        <v>29</v>
      </c>
    </row>
    <row r="40" spans="1:3" x14ac:dyDescent="0.35">
      <c r="A40" t="s">
        <v>40</v>
      </c>
      <c r="B40">
        <v>1</v>
      </c>
      <c r="C40" t="s">
        <v>29</v>
      </c>
    </row>
    <row r="41" spans="1:3" x14ac:dyDescent="0.35">
      <c r="A41" t="s">
        <v>41</v>
      </c>
      <c r="B41">
        <v>1</v>
      </c>
      <c r="C41" t="s">
        <v>5</v>
      </c>
    </row>
    <row r="42" spans="1:3" x14ac:dyDescent="0.35">
      <c r="A42" t="s">
        <v>42</v>
      </c>
      <c r="B42">
        <v>1</v>
      </c>
      <c r="C42" t="s">
        <v>13</v>
      </c>
    </row>
    <row r="43" spans="1:3" x14ac:dyDescent="0.35">
      <c r="A43" t="s">
        <v>43</v>
      </c>
      <c r="B43">
        <v>1</v>
      </c>
      <c r="C43" t="s">
        <v>101</v>
      </c>
    </row>
    <row r="44" spans="1:3" x14ac:dyDescent="0.35">
      <c r="A44" t="s">
        <v>44</v>
      </c>
      <c r="B44">
        <v>1</v>
      </c>
      <c r="C44" t="s">
        <v>5</v>
      </c>
    </row>
    <row r="45" spans="1:3" x14ac:dyDescent="0.35">
      <c r="A45" t="s">
        <v>45</v>
      </c>
      <c r="B45">
        <v>1</v>
      </c>
      <c r="C45" t="s">
        <v>5</v>
      </c>
    </row>
    <row r="46" spans="1:3" x14ac:dyDescent="0.35">
      <c r="A46" t="s">
        <v>47</v>
      </c>
      <c r="B46">
        <v>1</v>
      </c>
      <c r="C46" t="s">
        <v>20</v>
      </c>
    </row>
    <row r="47" spans="1:3" x14ac:dyDescent="0.35">
      <c r="A47" t="s">
        <v>48</v>
      </c>
      <c r="B47">
        <v>1</v>
      </c>
      <c r="C47" t="s">
        <v>101</v>
      </c>
    </row>
    <row r="48" spans="1:3" x14ac:dyDescent="0.35">
      <c r="A48" t="s">
        <v>49</v>
      </c>
      <c r="B48">
        <v>1</v>
      </c>
      <c r="C48" t="s">
        <v>5</v>
      </c>
    </row>
    <row r="49" spans="1:3" x14ac:dyDescent="0.35">
      <c r="A49" t="s">
        <v>52</v>
      </c>
      <c r="B49">
        <v>1</v>
      </c>
      <c r="C49" t="s">
        <v>31</v>
      </c>
    </row>
    <row r="50" spans="1:3" x14ac:dyDescent="0.35">
      <c r="A50" t="s">
        <v>53</v>
      </c>
      <c r="B50">
        <v>1</v>
      </c>
      <c r="C50" t="s">
        <v>54</v>
      </c>
    </row>
    <row r="51" spans="1:3" x14ac:dyDescent="0.35">
      <c r="A51" t="s">
        <v>55</v>
      </c>
      <c r="B51">
        <v>1</v>
      </c>
      <c r="C51" t="s">
        <v>54</v>
      </c>
    </row>
    <row r="52" spans="1:3" x14ac:dyDescent="0.35">
      <c r="A52" t="s">
        <v>56</v>
      </c>
      <c r="B52">
        <v>1</v>
      </c>
      <c r="C52" t="s">
        <v>5</v>
      </c>
    </row>
    <row r="53" spans="1:3" x14ac:dyDescent="0.35">
      <c r="A53" t="s">
        <v>57</v>
      </c>
      <c r="B53">
        <v>1</v>
      </c>
      <c r="C53" t="s">
        <v>27</v>
      </c>
    </row>
    <row r="54" spans="1:3" x14ac:dyDescent="0.35">
      <c r="A54" t="s">
        <v>58</v>
      </c>
      <c r="B54">
        <v>1</v>
      </c>
      <c r="C54" t="s">
        <v>59</v>
      </c>
    </row>
    <row r="55" spans="1:3" x14ac:dyDescent="0.35">
      <c r="A55" t="s">
        <v>60</v>
      </c>
      <c r="B55">
        <v>1</v>
      </c>
      <c r="C55" t="s">
        <v>101</v>
      </c>
    </row>
    <row r="56" spans="1:3" x14ac:dyDescent="0.35">
      <c r="A56" t="s">
        <v>60</v>
      </c>
      <c r="B56">
        <v>1</v>
      </c>
      <c r="C56" t="s">
        <v>101</v>
      </c>
    </row>
    <row r="57" spans="1:3" x14ac:dyDescent="0.35">
      <c r="A57" t="s">
        <v>61</v>
      </c>
      <c r="B57">
        <v>1</v>
      </c>
      <c r="C57" t="s">
        <v>101</v>
      </c>
    </row>
    <row r="58" spans="1:3" x14ac:dyDescent="0.35">
      <c r="A58" t="s">
        <v>61</v>
      </c>
      <c r="B58">
        <v>1</v>
      </c>
      <c r="C58" t="s">
        <v>101</v>
      </c>
    </row>
    <row r="59" spans="1:3" x14ac:dyDescent="0.35">
      <c r="A59" t="s">
        <v>62</v>
      </c>
      <c r="B59">
        <v>1</v>
      </c>
      <c r="C59" t="s">
        <v>5</v>
      </c>
    </row>
    <row r="60" spans="1:3" x14ac:dyDescent="0.35">
      <c r="A60" t="s">
        <v>63</v>
      </c>
      <c r="B60">
        <v>1</v>
      </c>
      <c r="C60" t="s">
        <v>5</v>
      </c>
    </row>
    <row r="61" spans="1:3" x14ac:dyDescent="0.35">
      <c r="A61" t="s">
        <v>64</v>
      </c>
      <c r="B61">
        <v>1</v>
      </c>
      <c r="C61" t="s">
        <v>27</v>
      </c>
    </row>
    <row r="62" spans="1:3" x14ac:dyDescent="0.35">
      <c r="A62" t="s">
        <v>64</v>
      </c>
      <c r="B62">
        <v>1</v>
      </c>
      <c r="C62" t="s">
        <v>5</v>
      </c>
    </row>
    <row r="63" spans="1:3" x14ac:dyDescent="0.35">
      <c r="A63" t="s">
        <v>65</v>
      </c>
      <c r="B63">
        <v>1</v>
      </c>
      <c r="C63" t="s">
        <v>31</v>
      </c>
    </row>
    <row r="64" spans="1:3" x14ac:dyDescent="0.35">
      <c r="A64" t="s">
        <v>16</v>
      </c>
      <c r="B64">
        <v>1</v>
      </c>
      <c r="C64" t="s">
        <v>17</v>
      </c>
    </row>
    <row r="65" spans="1:3" x14ac:dyDescent="0.35">
      <c r="A65" t="s">
        <v>66</v>
      </c>
      <c r="B65">
        <v>1</v>
      </c>
      <c r="C65" t="s">
        <v>67</v>
      </c>
    </row>
    <row r="66" spans="1:3" x14ac:dyDescent="0.35">
      <c r="A66" t="s">
        <v>72</v>
      </c>
      <c r="B66">
        <v>1</v>
      </c>
      <c r="C66" t="s">
        <v>5</v>
      </c>
    </row>
    <row r="67" spans="1:3" x14ac:dyDescent="0.35">
      <c r="A67" t="s">
        <v>70</v>
      </c>
      <c r="B67">
        <v>1</v>
      </c>
      <c r="C67" t="s">
        <v>71</v>
      </c>
    </row>
    <row r="68" spans="1:3" x14ac:dyDescent="0.35">
      <c r="A68" t="s">
        <v>79</v>
      </c>
      <c r="B68">
        <v>1</v>
      </c>
      <c r="C68" t="s">
        <v>20</v>
      </c>
    </row>
    <row r="69" spans="1:3" x14ac:dyDescent="0.35">
      <c r="A69" t="s">
        <v>77</v>
      </c>
      <c r="B69">
        <v>1</v>
      </c>
      <c r="C69" t="s">
        <v>20</v>
      </c>
    </row>
    <row r="70" spans="1:3" x14ac:dyDescent="0.35">
      <c r="A70" t="s">
        <v>78</v>
      </c>
      <c r="B70">
        <v>1</v>
      </c>
      <c r="C70" t="s">
        <v>20</v>
      </c>
    </row>
    <row r="71" spans="1:3" x14ac:dyDescent="0.35">
      <c r="A71" t="s">
        <v>85</v>
      </c>
      <c r="B71">
        <v>1</v>
      </c>
      <c r="C71" t="s">
        <v>59</v>
      </c>
    </row>
    <row r="72" spans="1:3" x14ac:dyDescent="0.35">
      <c r="A72" t="s">
        <v>85</v>
      </c>
      <c r="B72">
        <v>1</v>
      </c>
      <c r="C72" t="s">
        <v>59</v>
      </c>
    </row>
    <row r="73" spans="1:3" x14ac:dyDescent="0.35">
      <c r="A73" t="s">
        <v>86</v>
      </c>
      <c r="B73">
        <v>1</v>
      </c>
      <c r="C73" t="s">
        <v>5</v>
      </c>
    </row>
    <row r="74" spans="1:3" x14ac:dyDescent="0.35">
      <c r="A74" t="s">
        <v>87</v>
      </c>
      <c r="B74">
        <v>1</v>
      </c>
      <c r="C74" t="s">
        <v>29</v>
      </c>
    </row>
    <row r="75" spans="1:3" x14ac:dyDescent="0.35">
      <c r="A75" t="s">
        <v>87</v>
      </c>
      <c r="B75">
        <v>1</v>
      </c>
      <c r="C75" t="s">
        <v>69</v>
      </c>
    </row>
    <row r="76" spans="1:3" x14ac:dyDescent="0.35">
      <c r="A76" t="s">
        <v>87</v>
      </c>
      <c r="B76">
        <v>1</v>
      </c>
      <c r="C76" t="s">
        <v>5</v>
      </c>
    </row>
    <row r="77" spans="1:3" x14ac:dyDescent="0.35">
      <c r="A77" t="s">
        <v>84</v>
      </c>
      <c r="B77">
        <v>1</v>
      </c>
      <c r="C77" t="s">
        <v>67</v>
      </c>
    </row>
    <row r="78" spans="1:3" x14ac:dyDescent="0.35">
      <c r="A78" t="s">
        <v>89</v>
      </c>
      <c r="B78">
        <v>1</v>
      </c>
      <c r="C78" t="s">
        <v>90</v>
      </c>
    </row>
    <row r="79" spans="1:3" x14ac:dyDescent="0.35">
      <c r="A79" t="s">
        <v>91</v>
      </c>
      <c r="B79">
        <v>1</v>
      </c>
      <c r="C79" t="s">
        <v>92</v>
      </c>
    </row>
    <row r="80" spans="1:3" x14ac:dyDescent="0.35">
      <c r="A80" t="s">
        <v>93</v>
      </c>
      <c r="B80">
        <v>1</v>
      </c>
      <c r="C80" t="s">
        <v>90</v>
      </c>
    </row>
    <row r="81" spans="1:3" x14ac:dyDescent="0.35">
      <c r="A81" t="s">
        <v>94</v>
      </c>
      <c r="B81">
        <v>1</v>
      </c>
      <c r="C81" t="s">
        <v>25</v>
      </c>
    </row>
    <row r="82" spans="1:3" x14ac:dyDescent="0.35">
      <c r="A82" t="s">
        <v>94</v>
      </c>
      <c r="B82">
        <v>1</v>
      </c>
      <c r="C82" t="s">
        <v>54</v>
      </c>
    </row>
    <row r="83" spans="1:3" x14ac:dyDescent="0.35">
      <c r="A83" t="s">
        <v>94</v>
      </c>
      <c r="B83">
        <v>1</v>
      </c>
      <c r="C83" t="s">
        <v>25</v>
      </c>
    </row>
    <row r="84" spans="1:3" x14ac:dyDescent="0.35">
      <c r="A84" t="s">
        <v>95</v>
      </c>
      <c r="B84">
        <v>1</v>
      </c>
      <c r="C84" t="s">
        <v>69</v>
      </c>
    </row>
    <row r="85" spans="1:3" x14ac:dyDescent="0.35">
      <c r="A85" t="s">
        <v>97</v>
      </c>
      <c r="B85">
        <v>1</v>
      </c>
      <c r="C85" t="s">
        <v>67</v>
      </c>
    </row>
    <row r="86" spans="1:3" x14ac:dyDescent="0.35">
      <c r="A86" t="s">
        <v>98</v>
      </c>
      <c r="B86">
        <v>1</v>
      </c>
      <c r="C86" t="s">
        <v>99</v>
      </c>
    </row>
    <row r="87" spans="1:3" x14ac:dyDescent="0.35">
      <c r="A87" t="s">
        <v>80</v>
      </c>
      <c r="B87">
        <v>1</v>
      </c>
      <c r="C87" t="s">
        <v>101</v>
      </c>
    </row>
    <row r="88" spans="1:3" x14ac:dyDescent="0.35">
      <c r="A88" t="s">
        <v>81</v>
      </c>
      <c r="B88">
        <v>1</v>
      </c>
      <c r="C88" t="s">
        <v>5</v>
      </c>
    </row>
    <row r="89" spans="1:3" x14ac:dyDescent="0.35">
      <c r="A89" t="s">
        <v>82</v>
      </c>
      <c r="B89">
        <v>1</v>
      </c>
      <c r="C89" t="s">
        <v>101</v>
      </c>
    </row>
    <row r="90" spans="1:3" x14ac:dyDescent="0.35">
      <c r="A90" t="s">
        <v>83</v>
      </c>
      <c r="B90">
        <v>1</v>
      </c>
      <c r="C90" t="s">
        <v>5</v>
      </c>
    </row>
    <row r="91" spans="1:3" x14ac:dyDescent="0.35">
      <c r="A91" t="s">
        <v>88</v>
      </c>
      <c r="B91">
        <v>1</v>
      </c>
      <c r="C91" t="s">
        <v>5</v>
      </c>
    </row>
    <row r="92" spans="1:3" x14ac:dyDescent="0.35">
      <c r="A92" t="s">
        <v>33</v>
      </c>
      <c r="B92">
        <v>1</v>
      </c>
      <c r="C92" t="s">
        <v>7</v>
      </c>
    </row>
    <row r="93" spans="1:3" x14ac:dyDescent="0.35">
      <c r="A93" t="s">
        <v>30</v>
      </c>
      <c r="B93">
        <v>1</v>
      </c>
      <c r="C93" t="s">
        <v>31</v>
      </c>
    </row>
    <row r="94" spans="1:3" x14ac:dyDescent="0.35">
      <c r="A94" t="s">
        <v>32</v>
      </c>
      <c r="B94">
        <v>1</v>
      </c>
      <c r="C94" t="s">
        <v>31</v>
      </c>
    </row>
    <row r="95" spans="1:3" x14ac:dyDescent="0.35">
      <c r="A95" t="s">
        <v>21</v>
      </c>
      <c r="B95">
        <v>1</v>
      </c>
      <c r="C95" t="s">
        <v>22</v>
      </c>
    </row>
    <row r="96" spans="1:3" x14ac:dyDescent="0.35">
      <c r="A96" t="s">
        <v>23</v>
      </c>
      <c r="B96">
        <v>1</v>
      </c>
      <c r="C96" t="s">
        <v>5</v>
      </c>
    </row>
    <row r="97" spans="1:3" x14ac:dyDescent="0.35">
      <c r="A97" t="s">
        <v>75</v>
      </c>
      <c r="B97">
        <v>1</v>
      </c>
      <c r="C97" t="s">
        <v>29</v>
      </c>
    </row>
    <row r="98" spans="1:3" x14ac:dyDescent="0.35">
      <c r="A98" t="s">
        <v>96</v>
      </c>
      <c r="B98">
        <v>1</v>
      </c>
      <c r="C98" t="s">
        <v>7</v>
      </c>
    </row>
    <row r="99" spans="1:3" x14ac:dyDescent="0.35">
      <c r="A99" t="s">
        <v>73</v>
      </c>
      <c r="B99">
        <v>1</v>
      </c>
      <c r="C99" t="s">
        <v>74</v>
      </c>
    </row>
    <row r="100" spans="1:3" x14ac:dyDescent="0.35">
      <c r="A100" t="s">
        <v>76</v>
      </c>
      <c r="B100">
        <v>1</v>
      </c>
      <c r="C100" t="s">
        <v>5</v>
      </c>
    </row>
    <row r="101" spans="1:3" x14ac:dyDescent="0.35">
      <c r="A101" t="s">
        <v>68</v>
      </c>
      <c r="B101">
        <v>1</v>
      </c>
      <c r="C101" t="s">
        <v>69</v>
      </c>
    </row>
    <row r="102" spans="1:3" x14ac:dyDescent="0.35">
      <c r="A102" t="s">
        <v>39</v>
      </c>
      <c r="B102">
        <v>1</v>
      </c>
      <c r="C102" t="s">
        <v>29</v>
      </c>
    </row>
    <row r="103" spans="1:3" x14ac:dyDescent="0.35">
      <c r="A103" t="s">
        <v>4</v>
      </c>
      <c r="B103">
        <v>1</v>
      </c>
      <c r="C103" t="s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6"/>
  <sheetViews>
    <sheetView tabSelected="1" workbookViewId="0">
      <selection activeCell="H98" sqref="H98"/>
    </sheetView>
  </sheetViews>
  <sheetFormatPr defaultRowHeight="14.5" x14ac:dyDescent="0.35"/>
  <cols>
    <col min="1" max="1" width="30.54296875" bestFit="1" customWidth="1"/>
    <col min="2" max="2" width="7.81640625" bestFit="1" customWidth="1"/>
    <col min="3" max="3" width="28.7265625" bestFit="1" customWidth="1"/>
    <col min="4" max="4" width="19.1796875" bestFit="1" customWidth="1"/>
    <col min="5" max="5" width="12.1796875" bestFit="1" customWidth="1"/>
    <col min="6" max="6" width="8.08984375" bestFit="1" customWidth="1"/>
    <col min="7" max="8" width="8.08984375" customWidth="1"/>
    <col min="9" max="9" width="12.6328125" bestFit="1" customWidth="1"/>
    <col min="10" max="10" width="10.90625" bestFit="1" customWidth="1"/>
    <col min="11" max="11" width="32" bestFit="1" customWidth="1"/>
    <col min="12" max="12" width="14.81640625" bestFit="1" customWidth="1"/>
    <col min="13" max="13" width="17" bestFit="1" customWidth="1"/>
  </cols>
  <sheetData>
    <row r="1" spans="1:13" x14ac:dyDescent="0.35">
      <c r="A1" t="s">
        <v>3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301</v>
      </c>
      <c r="H1" t="s">
        <v>279</v>
      </c>
      <c r="I1" t="s">
        <v>107</v>
      </c>
      <c r="J1" t="s">
        <v>108</v>
      </c>
      <c r="K1" t="s">
        <v>0</v>
      </c>
      <c r="L1" t="s">
        <v>1</v>
      </c>
      <c r="M1" t="s">
        <v>2</v>
      </c>
    </row>
    <row r="2" spans="1:13" x14ac:dyDescent="0.35">
      <c r="A2" t="s">
        <v>109</v>
      </c>
      <c r="B2">
        <v>1</v>
      </c>
      <c r="C2" t="s">
        <v>110</v>
      </c>
      <c r="D2" t="s">
        <v>111</v>
      </c>
      <c r="E2" t="s">
        <v>112</v>
      </c>
      <c r="I2">
        <v>1</v>
      </c>
      <c r="J2" t="s">
        <v>113</v>
      </c>
      <c r="K2" t="s">
        <v>6</v>
      </c>
      <c r="L2">
        <v>1</v>
      </c>
      <c r="M2" t="s">
        <v>7</v>
      </c>
    </row>
    <row r="3" spans="1:13" x14ac:dyDescent="0.35">
      <c r="A3" t="s">
        <v>114</v>
      </c>
      <c r="B3">
        <v>1</v>
      </c>
      <c r="C3" t="s">
        <v>115</v>
      </c>
      <c r="D3" t="s">
        <v>111</v>
      </c>
      <c r="E3" t="s">
        <v>112</v>
      </c>
      <c r="I3">
        <v>1</v>
      </c>
      <c r="J3" t="s">
        <v>113</v>
      </c>
      <c r="K3" t="s">
        <v>8</v>
      </c>
      <c r="L3">
        <v>1</v>
      </c>
      <c r="M3" t="s">
        <v>7</v>
      </c>
    </row>
    <row r="4" spans="1:13" x14ac:dyDescent="0.35">
      <c r="A4" t="s">
        <v>116</v>
      </c>
      <c r="B4">
        <v>1</v>
      </c>
      <c r="C4" t="s">
        <v>117</v>
      </c>
      <c r="D4" t="s">
        <v>111</v>
      </c>
      <c r="E4" t="s">
        <v>112</v>
      </c>
      <c r="I4">
        <v>1</v>
      </c>
      <c r="J4" t="s">
        <v>113</v>
      </c>
      <c r="K4" t="s">
        <v>9</v>
      </c>
      <c r="L4">
        <v>1</v>
      </c>
      <c r="M4" t="s">
        <v>7</v>
      </c>
    </row>
    <row r="5" spans="1:13" x14ac:dyDescent="0.35">
      <c r="A5" t="s">
        <v>118</v>
      </c>
      <c r="B5">
        <v>1</v>
      </c>
      <c r="C5" t="s">
        <v>119</v>
      </c>
      <c r="D5" t="s">
        <v>111</v>
      </c>
      <c r="E5" t="s">
        <v>112</v>
      </c>
      <c r="I5">
        <v>1</v>
      </c>
      <c r="J5" t="s">
        <v>113</v>
      </c>
      <c r="K5" t="s">
        <v>10</v>
      </c>
      <c r="L5">
        <v>1</v>
      </c>
      <c r="M5" t="s">
        <v>7</v>
      </c>
    </row>
    <row r="6" spans="1:13" x14ac:dyDescent="0.35">
      <c r="A6" t="s">
        <v>120</v>
      </c>
      <c r="B6">
        <v>1</v>
      </c>
      <c r="C6" t="s">
        <v>121</v>
      </c>
      <c r="D6" t="s">
        <v>111</v>
      </c>
      <c r="E6" t="s">
        <v>112</v>
      </c>
      <c r="I6">
        <v>1</v>
      </c>
      <c r="J6" t="s">
        <v>113</v>
      </c>
      <c r="K6" t="s">
        <v>11</v>
      </c>
      <c r="L6">
        <v>1</v>
      </c>
      <c r="M6" t="s">
        <v>7</v>
      </c>
    </row>
    <row r="7" spans="1:13" x14ac:dyDescent="0.35">
      <c r="A7" t="s">
        <v>122</v>
      </c>
      <c r="B7">
        <v>1</v>
      </c>
      <c r="I7">
        <v>2</v>
      </c>
      <c r="J7" t="s">
        <v>123</v>
      </c>
    </row>
    <row r="8" spans="1:13" x14ac:dyDescent="0.35">
      <c r="A8" t="s">
        <v>124</v>
      </c>
      <c r="B8">
        <v>1</v>
      </c>
      <c r="C8" t="s">
        <v>125</v>
      </c>
      <c r="D8" t="s">
        <v>126</v>
      </c>
      <c r="E8" t="s">
        <v>112</v>
      </c>
      <c r="I8">
        <v>1</v>
      </c>
      <c r="J8" t="s">
        <v>113</v>
      </c>
      <c r="K8" t="s">
        <v>12</v>
      </c>
      <c r="L8">
        <v>1</v>
      </c>
      <c r="M8" t="s">
        <v>13</v>
      </c>
    </row>
    <row r="9" spans="1:13" x14ac:dyDescent="0.35">
      <c r="A9" t="s">
        <v>127</v>
      </c>
      <c r="B9">
        <v>1</v>
      </c>
      <c r="C9" t="s">
        <v>128</v>
      </c>
      <c r="D9" t="s">
        <v>129</v>
      </c>
      <c r="E9" t="s">
        <v>112</v>
      </c>
      <c r="I9">
        <v>1</v>
      </c>
      <c r="J9" t="s">
        <v>113</v>
      </c>
      <c r="K9" t="s">
        <v>4</v>
      </c>
      <c r="L9">
        <v>1</v>
      </c>
      <c r="M9" t="s">
        <v>5</v>
      </c>
    </row>
    <row r="10" spans="1:13" x14ac:dyDescent="0.35">
      <c r="A10" t="s">
        <v>130</v>
      </c>
      <c r="B10">
        <v>1</v>
      </c>
      <c r="C10" t="s">
        <v>131</v>
      </c>
      <c r="F10" t="s">
        <v>132</v>
      </c>
      <c r="I10">
        <v>1</v>
      </c>
      <c r="J10" t="s">
        <v>113</v>
      </c>
      <c r="K10" t="s">
        <v>14</v>
      </c>
      <c r="L10">
        <v>1</v>
      </c>
      <c r="M10" t="s">
        <v>5</v>
      </c>
    </row>
    <row r="11" spans="1:13" x14ac:dyDescent="0.35">
      <c r="A11" t="s">
        <v>133</v>
      </c>
      <c r="B11">
        <v>1</v>
      </c>
      <c r="C11" t="s">
        <v>134</v>
      </c>
      <c r="F11" t="s">
        <v>132</v>
      </c>
      <c r="I11">
        <v>1</v>
      </c>
      <c r="J11" t="s">
        <v>113</v>
      </c>
      <c r="K11" t="s">
        <v>15</v>
      </c>
      <c r="L11">
        <v>1</v>
      </c>
      <c r="M11" t="s">
        <v>5</v>
      </c>
    </row>
    <row r="12" spans="1:13" x14ac:dyDescent="0.35">
      <c r="A12" t="s">
        <v>135</v>
      </c>
      <c r="B12">
        <v>1</v>
      </c>
      <c r="C12" t="s">
        <v>136</v>
      </c>
      <c r="D12" t="s">
        <v>129</v>
      </c>
      <c r="E12" t="s">
        <v>112</v>
      </c>
      <c r="I12">
        <v>1</v>
      </c>
      <c r="J12" t="s">
        <v>113</v>
      </c>
      <c r="K12" t="s">
        <v>16</v>
      </c>
      <c r="L12">
        <v>1</v>
      </c>
      <c r="M12" t="s">
        <v>17</v>
      </c>
    </row>
    <row r="13" spans="1:13" x14ac:dyDescent="0.35">
      <c r="A13" t="s">
        <v>137</v>
      </c>
      <c r="B13">
        <v>1</v>
      </c>
      <c r="C13" t="s">
        <v>138</v>
      </c>
      <c r="D13" t="s">
        <v>129</v>
      </c>
      <c r="E13" t="s">
        <v>112</v>
      </c>
      <c r="I13">
        <v>1</v>
      </c>
      <c r="J13" t="s">
        <v>113</v>
      </c>
      <c r="M13" t="s">
        <v>5</v>
      </c>
    </row>
    <row r="14" spans="1:13" x14ac:dyDescent="0.35">
      <c r="A14" t="s">
        <v>139</v>
      </c>
      <c r="B14">
        <v>1</v>
      </c>
      <c r="C14" t="s">
        <v>140</v>
      </c>
      <c r="D14" t="s">
        <v>126</v>
      </c>
      <c r="E14" t="s">
        <v>112</v>
      </c>
      <c r="I14">
        <v>1</v>
      </c>
      <c r="J14" t="s">
        <v>113</v>
      </c>
      <c r="K14" t="s">
        <v>21</v>
      </c>
      <c r="L14">
        <v>1</v>
      </c>
      <c r="M14" t="s">
        <v>22</v>
      </c>
    </row>
    <row r="15" spans="1:13" x14ac:dyDescent="0.35">
      <c r="A15" t="s">
        <v>141</v>
      </c>
      <c r="B15">
        <v>1</v>
      </c>
      <c r="C15" t="s">
        <v>142</v>
      </c>
      <c r="D15" t="s">
        <v>129</v>
      </c>
      <c r="E15" t="s">
        <v>112</v>
      </c>
      <c r="I15">
        <v>1</v>
      </c>
      <c r="J15" t="s">
        <v>113</v>
      </c>
      <c r="K15" t="s">
        <v>23</v>
      </c>
      <c r="L15">
        <v>1</v>
      </c>
      <c r="M15" t="s">
        <v>5</v>
      </c>
    </row>
    <row r="16" spans="1:13" x14ac:dyDescent="0.35">
      <c r="A16" t="s">
        <v>143</v>
      </c>
      <c r="B16">
        <v>1</v>
      </c>
      <c r="I16">
        <v>2</v>
      </c>
      <c r="J16" t="s">
        <v>123</v>
      </c>
    </row>
    <row r="17" spans="1:13" x14ac:dyDescent="0.35">
      <c r="A17" t="s">
        <v>144</v>
      </c>
      <c r="B17">
        <v>1</v>
      </c>
      <c r="C17" t="s">
        <v>145</v>
      </c>
      <c r="D17" t="s">
        <v>129</v>
      </c>
      <c r="E17" t="s">
        <v>112</v>
      </c>
      <c r="I17">
        <v>1</v>
      </c>
      <c r="J17" t="s">
        <v>113</v>
      </c>
      <c r="K17" t="s">
        <v>19</v>
      </c>
      <c r="L17">
        <v>1</v>
      </c>
      <c r="M17" t="s">
        <v>20</v>
      </c>
    </row>
    <row r="18" spans="1:13" x14ac:dyDescent="0.35">
      <c r="A18" t="s">
        <v>146</v>
      </c>
      <c r="B18">
        <v>1</v>
      </c>
      <c r="C18" t="s">
        <v>146</v>
      </c>
      <c r="D18" t="s">
        <v>126</v>
      </c>
      <c r="E18" t="s">
        <v>112</v>
      </c>
      <c r="I18">
        <v>1</v>
      </c>
      <c r="J18" t="s">
        <v>113</v>
      </c>
      <c r="K18" t="s">
        <v>24</v>
      </c>
      <c r="L18">
        <v>1</v>
      </c>
      <c r="M18" t="s">
        <v>25</v>
      </c>
    </row>
    <row r="19" spans="1:13" x14ac:dyDescent="0.35">
      <c r="A19" t="s">
        <v>147</v>
      </c>
      <c r="B19">
        <v>1</v>
      </c>
      <c r="C19" t="s">
        <v>148</v>
      </c>
      <c r="D19" t="s">
        <v>126</v>
      </c>
      <c r="E19" t="s">
        <v>112</v>
      </c>
      <c r="I19">
        <v>1</v>
      </c>
      <c r="J19" t="s">
        <v>113</v>
      </c>
      <c r="K19" t="s">
        <v>26</v>
      </c>
      <c r="L19">
        <v>1</v>
      </c>
      <c r="M19" t="s">
        <v>27</v>
      </c>
    </row>
    <row r="20" spans="1:13" x14ac:dyDescent="0.35">
      <c r="A20" t="s">
        <v>149</v>
      </c>
      <c r="B20">
        <v>1</v>
      </c>
      <c r="C20" t="s">
        <v>150</v>
      </c>
      <c r="D20" t="s">
        <v>129</v>
      </c>
      <c r="E20" t="s">
        <v>112</v>
      </c>
      <c r="I20">
        <v>1</v>
      </c>
      <c r="J20" t="s">
        <v>113</v>
      </c>
      <c r="K20" t="s">
        <v>28</v>
      </c>
      <c r="L20">
        <v>1</v>
      </c>
      <c r="M20" t="s">
        <v>300</v>
      </c>
    </row>
    <row r="21" spans="1:13" x14ac:dyDescent="0.35">
      <c r="A21" t="s">
        <v>151</v>
      </c>
      <c r="B21">
        <v>1</v>
      </c>
      <c r="I21">
        <v>2</v>
      </c>
      <c r="J21" t="s">
        <v>123</v>
      </c>
    </row>
    <row r="22" spans="1:13" x14ac:dyDescent="0.35">
      <c r="A22" t="s">
        <v>152</v>
      </c>
      <c r="B22">
        <v>1</v>
      </c>
      <c r="C22" t="s">
        <v>153</v>
      </c>
      <c r="D22" t="s">
        <v>126</v>
      </c>
      <c r="E22" t="s">
        <v>112</v>
      </c>
      <c r="I22">
        <v>1</v>
      </c>
      <c r="J22" t="s">
        <v>113</v>
      </c>
      <c r="K22" t="s">
        <v>30</v>
      </c>
      <c r="L22">
        <v>1</v>
      </c>
      <c r="M22" t="s">
        <v>31</v>
      </c>
    </row>
    <row r="23" spans="1:13" x14ac:dyDescent="0.35">
      <c r="A23" t="s">
        <v>154</v>
      </c>
      <c r="B23">
        <v>1</v>
      </c>
      <c r="C23" t="s">
        <v>155</v>
      </c>
      <c r="D23" t="s">
        <v>126</v>
      </c>
      <c r="E23" t="s">
        <v>112</v>
      </c>
      <c r="I23">
        <v>1</v>
      </c>
      <c r="J23" t="s">
        <v>113</v>
      </c>
      <c r="K23" t="s">
        <v>32</v>
      </c>
      <c r="L23">
        <v>1</v>
      </c>
      <c r="M23" t="s">
        <v>31</v>
      </c>
    </row>
    <row r="24" spans="1:13" x14ac:dyDescent="0.35">
      <c r="A24" t="s">
        <v>156</v>
      </c>
      <c r="B24">
        <v>1</v>
      </c>
      <c r="C24" t="s">
        <v>157</v>
      </c>
      <c r="D24" t="s">
        <v>126</v>
      </c>
      <c r="E24" t="s">
        <v>112</v>
      </c>
      <c r="I24">
        <v>1</v>
      </c>
      <c r="J24" t="s">
        <v>113</v>
      </c>
      <c r="K24" t="s">
        <v>33</v>
      </c>
      <c r="L24">
        <v>1</v>
      </c>
      <c r="M24" t="s">
        <v>7</v>
      </c>
    </row>
    <row r="25" spans="1:13" x14ac:dyDescent="0.35">
      <c r="A25" t="s">
        <v>158</v>
      </c>
      <c r="B25">
        <v>1</v>
      </c>
      <c r="C25" t="s">
        <v>158</v>
      </c>
      <c r="D25" t="s">
        <v>111</v>
      </c>
      <c r="E25" t="s">
        <v>112</v>
      </c>
      <c r="I25">
        <v>1</v>
      </c>
      <c r="J25" t="s">
        <v>113</v>
      </c>
      <c r="K25" t="s">
        <v>34</v>
      </c>
      <c r="L25">
        <v>1</v>
      </c>
      <c r="M25" t="s">
        <v>7</v>
      </c>
    </row>
    <row r="26" spans="1:13" x14ac:dyDescent="0.35">
      <c r="A26" t="s">
        <v>159</v>
      </c>
      <c r="B26">
        <v>1</v>
      </c>
      <c r="C26" t="s">
        <v>160</v>
      </c>
      <c r="D26" t="s">
        <v>126</v>
      </c>
      <c r="E26" t="s">
        <v>112</v>
      </c>
      <c r="I26">
        <v>1</v>
      </c>
      <c r="J26" t="s">
        <v>113</v>
      </c>
      <c r="K26" t="s">
        <v>35</v>
      </c>
      <c r="L26">
        <v>1</v>
      </c>
      <c r="M26" t="s">
        <v>300</v>
      </c>
    </row>
    <row r="27" spans="1:13" x14ac:dyDescent="0.35">
      <c r="A27" t="s">
        <v>161</v>
      </c>
      <c r="B27">
        <v>1</v>
      </c>
      <c r="C27" t="s">
        <v>162</v>
      </c>
      <c r="D27" t="s">
        <v>163</v>
      </c>
      <c r="E27" t="s">
        <v>164</v>
      </c>
      <c r="I27">
        <v>1</v>
      </c>
      <c r="J27" t="s">
        <v>113</v>
      </c>
      <c r="K27" t="s">
        <v>36</v>
      </c>
      <c r="L27">
        <v>1</v>
      </c>
      <c r="M27" t="s">
        <v>300</v>
      </c>
    </row>
    <row r="28" spans="1:13" x14ac:dyDescent="0.35">
      <c r="A28" t="s">
        <v>165</v>
      </c>
      <c r="B28">
        <v>1</v>
      </c>
      <c r="C28" t="s">
        <v>166</v>
      </c>
      <c r="D28" t="s">
        <v>163</v>
      </c>
      <c r="E28" t="s">
        <v>164</v>
      </c>
      <c r="I28">
        <v>1</v>
      </c>
      <c r="J28" t="s">
        <v>113</v>
      </c>
      <c r="K28" t="s">
        <v>37</v>
      </c>
      <c r="L28">
        <v>1</v>
      </c>
      <c r="M28" t="s">
        <v>300</v>
      </c>
    </row>
    <row r="29" spans="1:13" x14ac:dyDescent="0.35">
      <c r="A29" t="s">
        <v>167</v>
      </c>
      <c r="B29">
        <v>1</v>
      </c>
      <c r="C29" t="s">
        <v>168</v>
      </c>
      <c r="D29" t="s">
        <v>126</v>
      </c>
      <c r="E29" t="s">
        <v>112</v>
      </c>
      <c r="I29">
        <v>1</v>
      </c>
      <c r="J29" t="s">
        <v>113</v>
      </c>
      <c r="K29" t="s">
        <v>38</v>
      </c>
      <c r="L29">
        <v>1</v>
      </c>
      <c r="M29" t="s">
        <v>300</v>
      </c>
    </row>
    <row r="30" spans="1:13" x14ac:dyDescent="0.35">
      <c r="A30" t="s">
        <v>169</v>
      </c>
      <c r="B30">
        <v>1</v>
      </c>
      <c r="C30" t="s">
        <v>170</v>
      </c>
      <c r="D30" t="s">
        <v>126</v>
      </c>
      <c r="E30" t="s">
        <v>112</v>
      </c>
      <c r="I30">
        <v>1</v>
      </c>
      <c r="J30" t="s">
        <v>113</v>
      </c>
      <c r="K30" t="s">
        <v>40</v>
      </c>
      <c r="L30">
        <v>1</v>
      </c>
      <c r="M30" t="s">
        <v>300</v>
      </c>
    </row>
    <row r="31" spans="1:13" x14ac:dyDescent="0.35">
      <c r="A31" t="s">
        <v>171</v>
      </c>
      <c r="B31">
        <v>1</v>
      </c>
      <c r="I31">
        <v>1</v>
      </c>
      <c r="J31" t="s">
        <v>123</v>
      </c>
      <c r="K31" t="s">
        <v>39</v>
      </c>
      <c r="L31">
        <v>1</v>
      </c>
      <c r="M31" t="s">
        <v>300</v>
      </c>
    </row>
    <row r="32" spans="1:13" x14ac:dyDescent="0.35">
      <c r="A32" t="s">
        <v>172</v>
      </c>
      <c r="B32">
        <v>1</v>
      </c>
      <c r="C32" t="s">
        <v>173</v>
      </c>
      <c r="D32" t="s">
        <v>163</v>
      </c>
      <c r="E32" t="s">
        <v>164</v>
      </c>
      <c r="I32">
        <v>1</v>
      </c>
      <c r="J32" t="s">
        <v>113</v>
      </c>
      <c r="K32" t="s">
        <v>41</v>
      </c>
      <c r="L32">
        <v>1</v>
      </c>
      <c r="M32" t="s">
        <v>5</v>
      </c>
    </row>
    <row r="33" spans="1:13" x14ac:dyDescent="0.35">
      <c r="A33" t="s">
        <v>174</v>
      </c>
      <c r="B33">
        <v>1</v>
      </c>
      <c r="I33">
        <v>1</v>
      </c>
      <c r="J33" t="s">
        <v>123</v>
      </c>
      <c r="K33" t="s">
        <v>42</v>
      </c>
      <c r="L33">
        <v>1</v>
      </c>
      <c r="M33" t="s">
        <v>13</v>
      </c>
    </row>
    <row r="34" spans="1:13" x14ac:dyDescent="0.35">
      <c r="A34" t="s">
        <v>175</v>
      </c>
      <c r="B34">
        <v>1</v>
      </c>
      <c r="I34">
        <v>2</v>
      </c>
      <c r="J34" t="s">
        <v>123</v>
      </c>
    </row>
    <row r="35" spans="1:13" x14ac:dyDescent="0.35">
      <c r="A35" t="s">
        <v>176</v>
      </c>
      <c r="B35">
        <v>1</v>
      </c>
      <c r="I35">
        <v>2</v>
      </c>
      <c r="J35" t="s">
        <v>123</v>
      </c>
    </row>
    <row r="36" spans="1:13" x14ac:dyDescent="0.35">
      <c r="A36" t="s">
        <v>177</v>
      </c>
      <c r="B36">
        <v>1</v>
      </c>
      <c r="I36">
        <v>2</v>
      </c>
      <c r="J36" t="s">
        <v>123</v>
      </c>
    </row>
    <row r="37" spans="1:13" x14ac:dyDescent="0.35">
      <c r="A37" t="s">
        <v>178</v>
      </c>
      <c r="B37">
        <v>1</v>
      </c>
      <c r="C37" t="s">
        <v>179</v>
      </c>
      <c r="F37" t="s">
        <v>132</v>
      </c>
      <c r="I37">
        <v>1</v>
      </c>
      <c r="J37" t="s">
        <v>113</v>
      </c>
      <c r="K37" t="s">
        <v>43</v>
      </c>
      <c r="L37">
        <v>1</v>
      </c>
      <c r="M37" t="s">
        <v>5</v>
      </c>
    </row>
    <row r="38" spans="1:13" x14ac:dyDescent="0.35">
      <c r="A38" t="s">
        <v>180</v>
      </c>
      <c r="B38">
        <v>1</v>
      </c>
      <c r="C38" t="s">
        <v>181</v>
      </c>
      <c r="F38" t="s">
        <v>132</v>
      </c>
      <c r="I38">
        <v>1</v>
      </c>
      <c r="J38" t="s">
        <v>113</v>
      </c>
      <c r="K38" t="s">
        <v>44</v>
      </c>
      <c r="L38">
        <v>1</v>
      </c>
      <c r="M38" t="s">
        <v>5</v>
      </c>
    </row>
    <row r="39" spans="1:13" x14ac:dyDescent="0.35">
      <c r="A39" t="s">
        <v>182</v>
      </c>
      <c r="B39">
        <v>1</v>
      </c>
      <c r="C39" t="s">
        <v>183</v>
      </c>
      <c r="D39" t="s">
        <v>126</v>
      </c>
      <c r="E39" t="s">
        <v>112</v>
      </c>
      <c r="I39">
        <v>1</v>
      </c>
      <c r="J39" t="s">
        <v>113</v>
      </c>
      <c r="K39" t="s">
        <v>45</v>
      </c>
      <c r="L39">
        <v>1</v>
      </c>
      <c r="M39" t="s">
        <v>5</v>
      </c>
    </row>
    <row r="40" spans="1:13" x14ac:dyDescent="0.35">
      <c r="A40" t="s">
        <v>184</v>
      </c>
      <c r="B40">
        <v>1</v>
      </c>
      <c r="C40" t="s">
        <v>185</v>
      </c>
      <c r="D40" t="s">
        <v>186</v>
      </c>
      <c r="E40" t="s">
        <v>187</v>
      </c>
      <c r="I40">
        <v>1</v>
      </c>
      <c r="J40" t="s">
        <v>113</v>
      </c>
      <c r="K40" t="s">
        <v>46</v>
      </c>
      <c r="L40">
        <v>1</v>
      </c>
      <c r="M40" t="s">
        <v>27</v>
      </c>
    </row>
    <row r="41" spans="1:13" x14ac:dyDescent="0.35">
      <c r="A41" t="s">
        <v>188</v>
      </c>
      <c r="B41">
        <v>1</v>
      </c>
      <c r="C41" t="s">
        <v>189</v>
      </c>
      <c r="D41" t="s">
        <v>186</v>
      </c>
      <c r="E41" t="s">
        <v>187</v>
      </c>
      <c r="I41">
        <v>1</v>
      </c>
      <c r="J41" t="s">
        <v>113</v>
      </c>
      <c r="K41" t="s">
        <v>47</v>
      </c>
      <c r="L41">
        <v>1</v>
      </c>
      <c r="M41" t="s">
        <v>20</v>
      </c>
    </row>
    <row r="42" spans="1:13" x14ac:dyDescent="0.35">
      <c r="A42" t="s">
        <v>190</v>
      </c>
      <c r="B42">
        <v>1</v>
      </c>
      <c r="C42" t="s">
        <v>191</v>
      </c>
      <c r="D42" t="s">
        <v>163</v>
      </c>
      <c r="E42" t="s">
        <v>164</v>
      </c>
      <c r="I42">
        <v>1</v>
      </c>
      <c r="J42" t="s">
        <v>113</v>
      </c>
      <c r="K42" t="s">
        <v>48</v>
      </c>
      <c r="L42">
        <v>1</v>
      </c>
      <c r="M42" t="s">
        <v>5</v>
      </c>
    </row>
    <row r="43" spans="1:13" x14ac:dyDescent="0.35">
      <c r="A43" t="s">
        <v>192</v>
      </c>
      <c r="B43">
        <v>1</v>
      </c>
      <c r="C43" t="s">
        <v>193</v>
      </c>
      <c r="D43" t="s">
        <v>163</v>
      </c>
      <c r="E43" t="s">
        <v>164</v>
      </c>
      <c r="I43">
        <v>1</v>
      </c>
      <c r="J43" t="s">
        <v>113</v>
      </c>
      <c r="K43" t="s">
        <v>49</v>
      </c>
      <c r="L43">
        <v>1</v>
      </c>
      <c r="M43" t="s">
        <v>5</v>
      </c>
    </row>
    <row r="44" spans="1:13" x14ac:dyDescent="0.35">
      <c r="A44" t="s">
        <v>194</v>
      </c>
      <c r="B44">
        <v>1</v>
      </c>
      <c r="C44" t="s">
        <v>195</v>
      </c>
      <c r="D44" t="s">
        <v>186</v>
      </c>
      <c r="E44" t="s">
        <v>187</v>
      </c>
      <c r="I44">
        <v>1</v>
      </c>
      <c r="J44" t="s">
        <v>113</v>
      </c>
      <c r="K44" t="s">
        <v>50</v>
      </c>
      <c r="L44">
        <v>1</v>
      </c>
      <c r="M44" t="s">
        <v>27</v>
      </c>
    </row>
    <row r="45" spans="1:13" x14ac:dyDescent="0.35">
      <c r="A45" t="s">
        <v>196</v>
      </c>
      <c r="B45">
        <v>1</v>
      </c>
      <c r="C45" t="s">
        <v>197</v>
      </c>
      <c r="D45" t="s">
        <v>186</v>
      </c>
      <c r="H45" t="s">
        <v>280</v>
      </c>
      <c r="I45">
        <v>1</v>
      </c>
      <c r="J45" t="s">
        <v>113</v>
      </c>
      <c r="K45" t="s">
        <v>51</v>
      </c>
      <c r="L45">
        <v>1</v>
      </c>
      <c r="M45" t="s">
        <v>25</v>
      </c>
    </row>
    <row r="46" spans="1:13" x14ac:dyDescent="0.35">
      <c r="C46" t="s">
        <v>197</v>
      </c>
      <c r="D46" t="s">
        <v>163</v>
      </c>
      <c r="H46" t="s">
        <v>280</v>
      </c>
      <c r="I46">
        <v>1</v>
      </c>
      <c r="J46" t="s">
        <v>113</v>
      </c>
      <c r="M46" t="s">
        <v>5</v>
      </c>
    </row>
    <row r="47" spans="1:13" x14ac:dyDescent="0.35">
      <c r="A47" t="s">
        <v>198</v>
      </c>
      <c r="B47">
        <v>1</v>
      </c>
      <c r="C47" t="s">
        <v>153</v>
      </c>
      <c r="D47" t="s">
        <v>126</v>
      </c>
      <c r="E47" t="s">
        <v>112</v>
      </c>
      <c r="I47">
        <v>1</v>
      </c>
      <c r="J47" t="s">
        <v>113</v>
      </c>
      <c r="K47" t="s">
        <v>52</v>
      </c>
      <c r="L47">
        <v>1</v>
      </c>
      <c r="M47" t="s">
        <v>31</v>
      </c>
    </row>
    <row r="48" spans="1:13" x14ac:dyDescent="0.35">
      <c r="A48" t="s">
        <v>199</v>
      </c>
      <c r="B48">
        <v>1</v>
      </c>
      <c r="C48" t="s">
        <v>199</v>
      </c>
      <c r="D48" t="s">
        <v>126</v>
      </c>
      <c r="E48" t="s">
        <v>112</v>
      </c>
      <c r="I48">
        <v>1</v>
      </c>
      <c r="J48" t="s">
        <v>113</v>
      </c>
      <c r="K48" t="s">
        <v>53</v>
      </c>
      <c r="L48">
        <v>1</v>
      </c>
      <c r="M48" t="s">
        <v>54</v>
      </c>
    </row>
    <row r="49" spans="1:13" x14ac:dyDescent="0.35">
      <c r="A49" t="s">
        <v>200</v>
      </c>
      <c r="B49">
        <v>1</v>
      </c>
      <c r="C49" t="s">
        <v>201</v>
      </c>
      <c r="D49" t="s">
        <v>129</v>
      </c>
      <c r="E49" t="s">
        <v>112</v>
      </c>
      <c r="I49">
        <v>1</v>
      </c>
      <c r="J49" t="s">
        <v>113</v>
      </c>
      <c r="K49" t="s">
        <v>55</v>
      </c>
      <c r="L49">
        <v>1</v>
      </c>
      <c r="M49" t="s">
        <v>54</v>
      </c>
    </row>
    <row r="50" spans="1:13" x14ac:dyDescent="0.35">
      <c r="A50" t="s">
        <v>202</v>
      </c>
      <c r="B50">
        <v>1</v>
      </c>
      <c r="C50" t="s">
        <v>203</v>
      </c>
      <c r="D50" t="s">
        <v>163</v>
      </c>
      <c r="E50" t="s">
        <v>164</v>
      </c>
      <c r="I50">
        <v>1</v>
      </c>
      <c r="J50" t="s">
        <v>113</v>
      </c>
      <c r="K50" t="s">
        <v>56</v>
      </c>
      <c r="L50">
        <v>1</v>
      </c>
      <c r="M50" t="s">
        <v>5</v>
      </c>
    </row>
    <row r="51" spans="1:13" x14ac:dyDescent="0.35">
      <c r="A51" t="s">
        <v>204</v>
      </c>
      <c r="B51">
        <v>1</v>
      </c>
      <c r="C51" t="s">
        <v>205</v>
      </c>
      <c r="F51" t="s">
        <v>132</v>
      </c>
      <c r="I51">
        <v>1</v>
      </c>
      <c r="J51" t="s">
        <v>113</v>
      </c>
      <c r="K51" t="s">
        <v>57</v>
      </c>
      <c r="L51">
        <v>1</v>
      </c>
      <c r="M51" t="s">
        <v>27</v>
      </c>
    </row>
    <row r="52" spans="1:13" x14ac:dyDescent="0.35">
      <c r="A52" t="s">
        <v>206</v>
      </c>
      <c r="B52">
        <v>1</v>
      </c>
      <c r="C52" t="s">
        <v>207</v>
      </c>
      <c r="F52" t="s">
        <v>132</v>
      </c>
      <c r="I52">
        <v>1</v>
      </c>
      <c r="J52" t="s">
        <v>113</v>
      </c>
      <c r="K52" t="s">
        <v>58</v>
      </c>
      <c r="L52">
        <v>1</v>
      </c>
      <c r="M52" t="s">
        <v>59</v>
      </c>
    </row>
    <row r="53" spans="1:13" x14ac:dyDescent="0.35">
      <c r="A53" t="s">
        <v>208</v>
      </c>
      <c r="B53">
        <v>1</v>
      </c>
      <c r="C53" t="s">
        <v>209</v>
      </c>
      <c r="D53" t="s">
        <v>129</v>
      </c>
      <c r="E53" t="s">
        <v>112</v>
      </c>
      <c r="I53">
        <v>1</v>
      </c>
      <c r="J53" t="s">
        <v>113</v>
      </c>
      <c r="K53" t="s">
        <v>60</v>
      </c>
      <c r="L53">
        <v>1</v>
      </c>
      <c r="M53" t="s">
        <v>5</v>
      </c>
    </row>
    <row r="54" spans="1:13" x14ac:dyDescent="0.35">
      <c r="A54" t="s">
        <v>210</v>
      </c>
      <c r="B54">
        <v>1</v>
      </c>
      <c r="C54" t="s">
        <v>211</v>
      </c>
      <c r="D54" t="s">
        <v>129</v>
      </c>
      <c r="E54" t="s">
        <v>112</v>
      </c>
      <c r="I54">
        <v>1</v>
      </c>
      <c r="J54" t="s">
        <v>113</v>
      </c>
      <c r="K54" t="s">
        <v>61</v>
      </c>
      <c r="L54">
        <v>1</v>
      </c>
      <c r="M54" t="s">
        <v>5</v>
      </c>
    </row>
    <row r="55" spans="1:13" x14ac:dyDescent="0.35">
      <c r="A55" t="s">
        <v>212</v>
      </c>
      <c r="B55">
        <v>1</v>
      </c>
      <c r="C55" t="s">
        <v>213</v>
      </c>
      <c r="D55" t="s">
        <v>129</v>
      </c>
      <c r="E55" t="s">
        <v>112</v>
      </c>
      <c r="I55">
        <v>1</v>
      </c>
      <c r="J55" t="s">
        <v>113</v>
      </c>
      <c r="K55" t="s">
        <v>62</v>
      </c>
      <c r="L55">
        <v>1</v>
      </c>
      <c r="M55" t="s">
        <v>5</v>
      </c>
    </row>
    <row r="56" spans="1:13" x14ac:dyDescent="0.35">
      <c r="A56" t="s">
        <v>214</v>
      </c>
      <c r="B56">
        <v>1</v>
      </c>
      <c r="C56" t="s">
        <v>215</v>
      </c>
      <c r="D56" t="s">
        <v>129</v>
      </c>
      <c r="E56" t="s">
        <v>112</v>
      </c>
      <c r="I56">
        <v>1</v>
      </c>
      <c r="J56" t="s">
        <v>113</v>
      </c>
      <c r="K56" t="s">
        <v>63</v>
      </c>
      <c r="L56">
        <v>1</v>
      </c>
      <c r="M56" t="s">
        <v>5</v>
      </c>
    </row>
    <row r="57" spans="1:13" x14ac:dyDescent="0.35">
      <c r="A57" t="s">
        <v>216</v>
      </c>
      <c r="B57">
        <v>1</v>
      </c>
      <c r="C57" t="s">
        <v>217</v>
      </c>
      <c r="D57" t="s">
        <v>163</v>
      </c>
      <c r="E57" t="s">
        <v>164</v>
      </c>
      <c r="I57">
        <v>1</v>
      </c>
      <c r="J57" t="s">
        <v>113</v>
      </c>
      <c r="K57" t="s">
        <v>64</v>
      </c>
      <c r="L57">
        <v>1</v>
      </c>
      <c r="M57" t="s">
        <v>27</v>
      </c>
    </row>
    <row r="58" spans="1:13" x14ac:dyDescent="0.35">
      <c r="A58" t="s">
        <v>218</v>
      </c>
      <c r="B58">
        <v>1</v>
      </c>
      <c r="I58">
        <v>2</v>
      </c>
      <c r="J58" t="s">
        <v>123</v>
      </c>
    </row>
    <row r="59" spans="1:13" x14ac:dyDescent="0.35">
      <c r="A59" t="s">
        <v>219</v>
      </c>
      <c r="B59">
        <v>1</v>
      </c>
      <c r="I59">
        <v>2</v>
      </c>
      <c r="J59" t="s">
        <v>123</v>
      </c>
    </row>
    <row r="60" spans="1:13" x14ac:dyDescent="0.35">
      <c r="A60" t="s">
        <v>220</v>
      </c>
      <c r="B60">
        <v>1</v>
      </c>
      <c r="C60" t="s">
        <v>155</v>
      </c>
      <c r="D60" t="s">
        <v>126</v>
      </c>
      <c r="E60" t="s">
        <v>112</v>
      </c>
      <c r="I60">
        <v>1</v>
      </c>
      <c r="J60" t="s">
        <v>113</v>
      </c>
      <c r="K60" t="s">
        <v>65</v>
      </c>
      <c r="L60">
        <v>1</v>
      </c>
      <c r="M60" t="s">
        <v>31</v>
      </c>
    </row>
    <row r="61" spans="1:13" x14ac:dyDescent="0.35">
      <c r="A61" t="s">
        <v>221</v>
      </c>
      <c r="B61">
        <v>1</v>
      </c>
      <c r="I61">
        <v>2</v>
      </c>
      <c r="J61" t="s">
        <v>123</v>
      </c>
    </row>
    <row r="62" spans="1:13" x14ac:dyDescent="0.35">
      <c r="A62" t="s">
        <v>222</v>
      </c>
      <c r="B62">
        <v>1</v>
      </c>
      <c r="I62">
        <v>2</v>
      </c>
      <c r="J62" t="s">
        <v>123</v>
      </c>
    </row>
    <row r="63" spans="1:13" x14ac:dyDescent="0.35">
      <c r="A63" t="s">
        <v>223</v>
      </c>
      <c r="B63">
        <v>1</v>
      </c>
      <c r="I63">
        <v>2</v>
      </c>
      <c r="J63" t="s">
        <v>123</v>
      </c>
    </row>
    <row r="64" spans="1:13" x14ac:dyDescent="0.35">
      <c r="A64" t="s">
        <v>224</v>
      </c>
      <c r="B64">
        <v>1</v>
      </c>
      <c r="C64" t="s">
        <v>225</v>
      </c>
      <c r="D64" t="s">
        <v>126</v>
      </c>
      <c r="E64" t="s">
        <v>112</v>
      </c>
      <c r="I64">
        <v>1</v>
      </c>
      <c r="J64" t="s">
        <v>113</v>
      </c>
      <c r="K64" t="s">
        <v>66</v>
      </c>
      <c r="L64">
        <v>1</v>
      </c>
      <c r="M64" t="s">
        <v>67</v>
      </c>
    </row>
    <row r="65" spans="1:13" x14ac:dyDescent="0.35">
      <c r="A65" t="s">
        <v>226</v>
      </c>
      <c r="B65">
        <v>1</v>
      </c>
      <c r="C65" t="s">
        <v>227</v>
      </c>
      <c r="D65" t="s">
        <v>129</v>
      </c>
      <c r="E65" t="s">
        <v>112</v>
      </c>
      <c r="I65">
        <v>1</v>
      </c>
      <c r="J65" t="s">
        <v>113</v>
      </c>
      <c r="K65" t="s">
        <v>68</v>
      </c>
      <c r="L65">
        <v>1</v>
      </c>
      <c r="M65" t="s">
        <v>69</v>
      </c>
    </row>
    <row r="66" spans="1:13" x14ac:dyDescent="0.35">
      <c r="A66" t="s">
        <v>228</v>
      </c>
      <c r="B66">
        <v>1</v>
      </c>
      <c r="C66" t="s">
        <v>228</v>
      </c>
      <c r="D66" t="s">
        <v>126</v>
      </c>
      <c r="E66" t="s">
        <v>112</v>
      </c>
      <c r="I66">
        <v>1</v>
      </c>
      <c r="J66" t="s">
        <v>113</v>
      </c>
      <c r="K66" t="s">
        <v>72</v>
      </c>
      <c r="L66">
        <v>1</v>
      </c>
      <c r="M66" t="s">
        <v>5</v>
      </c>
    </row>
    <row r="67" spans="1:13" x14ac:dyDescent="0.35">
      <c r="A67" t="s">
        <v>229</v>
      </c>
      <c r="B67">
        <v>1</v>
      </c>
      <c r="C67" t="s">
        <v>230</v>
      </c>
      <c r="D67" t="s">
        <v>129</v>
      </c>
      <c r="E67" t="s">
        <v>112</v>
      </c>
      <c r="I67">
        <v>1</v>
      </c>
      <c r="J67" t="s">
        <v>113</v>
      </c>
      <c r="K67" t="s">
        <v>73</v>
      </c>
      <c r="L67">
        <v>1</v>
      </c>
      <c r="M67" t="s">
        <v>74</v>
      </c>
    </row>
    <row r="68" spans="1:13" x14ac:dyDescent="0.35">
      <c r="A68" t="s">
        <v>231</v>
      </c>
      <c r="B68">
        <v>1</v>
      </c>
      <c r="C68" t="s">
        <v>232</v>
      </c>
      <c r="D68" t="s">
        <v>126</v>
      </c>
      <c r="E68" t="s">
        <v>112</v>
      </c>
      <c r="I68">
        <v>1</v>
      </c>
      <c r="J68" t="s">
        <v>113</v>
      </c>
      <c r="K68" t="s">
        <v>70</v>
      </c>
      <c r="L68">
        <v>1</v>
      </c>
      <c r="M68" t="s">
        <v>71</v>
      </c>
    </row>
    <row r="69" spans="1:13" x14ac:dyDescent="0.35">
      <c r="A69" t="s">
        <v>233</v>
      </c>
      <c r="B69">
        <v>1</v>
      </c>
      <c r="C69" t="s">
        <v>234</v>
      </c>
      <c r="D69" t="s">
        <v>126</v>
      </c>
      <c r="E69" t="s">
        <v>112</v>
      </c>
      <c r="I69">
        <v>1</v>
      </c>
      <c r="J69" t="s">
        <v>113</v>
      </c>
      <c r="K69" t="s">
        <v>75</v>
      </c>
      <c r="L69">
        <v>1</v>
      </c>
      <c r="M69" t="s">
        <v>300</v>
      </c>
    </row>
    <row r="70" spans="1:13" x14ac:dyDescent="0.35">
      <c r="A70" t="s">
        <v>235</v>
      </c>
      <c r="B70">
        <v>1</v>
      </c>
      <c r="I70">
        <v>2</v>
      </c>
      <c r="J70" t="s">
        <v>123</v>
      </c>
    </row>
    <row r="71" spans="1:13" x14ac:dyDescent="0.35">
      <c r="A71" t="s">
        <v>236</v>
      </c>
      <c r="B71">
        <v>1</v>
      </c>
      <c r="C71" t="s">
        <v>237</v>
      </c>
      <c r="F71" t="s">
        <v>132</v>
      </c>
      <c r="I71">
        <v>1</v>
      </c>
      <c r="J71" t="s">
        <v>113</v>
      </c>
      <c r="K71" t="s">
        <v>76</v>
      </c>
      <c r="L71">
        <v>1</v>
      </c>
      <c r="M71" t="s">
        <v>5</v>
      </c>
    </row>
    <row r="72" spans="1:13" x14ac:dyDescent="0.35">
      <c r="A72" t="s">
        <v>238</v>
      </c>
      <c r="B72">
        <v>1</v>
      </c>
      <c r="C72" t="s">
        <v>238</v>
      </c>
      <c r="D72" t="s">
        <v>129</v>
      </c>
      <c r="E72" t="s">
        <v>112</v>
      </c>
      <c r="I72">
        <v>1</v>
      </c>
      <c r="J72" t="s">
        <v>113</v>
      </c>
      <c r="K72" t="s">
        <v>79</v>
      </c>
      <c r="L72">
        <v>1</v>
      </c>
      <c r="M72" t="s">
        <v>20</v>
      </c>
    </row>
    <row r="73" spans="1:13" x14ac:dyDescent="0.35">
      <c r="A73" t="s">
        <v>239</v>
      </c>
      <c r="B73">
        <v>1</v>
      </c>
      <c r="I73">
        <v>2</v>
      </c>
      <c r="J73" t="s">
        <v>123</v>
      </c>
    </row>
    <row r="74" spans="1:13" x14ac:dyDescent="0.35">
      <c r="A74" t="s">
        <v>240</v>
      </c>
      <c r="B74">
        <v>1</v>
      </c>
      <c r="C74" t="s">
        <v>241</v>
      </c>
      <c r="F74" t="s">
        <v>132</v>
      </c>
      <c r="I74">
        <v>1</v>
      </c>
      <c r="J74" t="s">
        <v>113</v>
      </c>
      <c r="K74" t="s">
        <v>80</v>
      </c>
      <c r="L74">
        <v>1</v>
      </c>
      <c r="M74" t="s">
        <v>5</v>
      </c>
    </row>
    <row r="75" spans="1:13" x14ac:dyDescent="0.35">
      <c r="A75" t="s">
        <v>242</v>
      </c>
      <c r="B75">
        <v>1</v>
      </c>
      <c r="C75" t="s">
        <v>243</v>
      </c>
      <c r="F75" t="s">
        <v>132</v>
      </c>
      <c r="I75">
        <v>1</v>
      </c>
      <c r="J75" t="s">
        <v>113</v>
      </c>
      <c r="K75" t="s">
        <v>81</v>
      </c>
      <c r="L75">
        <v>1</v>
      </c>
      <c r="M75" t="s">
        <v>5</v>
      </c>
    </row>
    <row r="76" spans="1:13" x14ac:dyDescent="0.35">
      <c r="A76" t="s">
        <v>244</v>
      </c>
      <c r="B76">
        <v>1</v>
      </c>
      <c r="C76" t="s">
        <v>245</v>
      </c>
      <c r="F76" t="s">
        <v>132</v>
      </c>
      <c r="I76">
        <v>1</v>
      </c>
      <c r="J76" t="s">
        <v>113</v>
      </c>
      <c r="K76" t="s">
        <v>82</v>
      </c>
      <c r="L76">
        <v>1</v>
      </c>
      <c r="M76" t="s">
        <v>5</v>
      </c>
    </row>
    <row r="77" spans="1:13" x14ac:dyDescent="0.35">
      <c r="A77" t="s">
        <v>246</v>
      </c>
      <c r="B77">
        <v>1</v>
      </c>
      <c r="C77" t="s">
        <v>247</v>
      </c>
      <c r="F77" t="s">
        <v>132</v>
      </c>
      <c r="I77">
        <v>1</v>
      </c>
      <c r="J77" t="s">
        <v>113</v>
      </c>
      <c r="K77" t="s">
        <v>83</v>
      </c>
      <c r="L77">
        <v>1</v>
      </c>
      <c r="M77" t="s">
        <v>5</v>
      </c>
    </row>
    <row r="78" spans="1:13" x14ac:dyDescent="0.35">
      <c r="A78" t="s">
        <v>248</v>
      </c>
      <c r="B78">
        <v>1</v>
      </c>
      <c r="C78" t="s">
        <v>248</v>
      </c>
      <c r="D78" t="s">
        <v>126</v>
      </c>
      <c r="E78" t="s">
        <v>112</v>
      </c>
      <c r="I78">
        <v>1</v>
      </c>
      <c r="J78" t="s">
        <v>113</v>
      </c>
      <c r="K78" t="s">
        <v>77</v>
      </c>
      <c r="L78">
        <v>1</v>
      </c>
      <c r="M78" t="s">
        <v>20</v>
      </c>
    </row>
    <row r="79" spans="1:13" x14ac:dyDescent="0.35">
      <c r="A79" t="s">
        <v>249</v>
      </c>
      <c r="B79">
        <v>1</v>
      </c>
      <c r="C79" t="s">
        <v>250</v>
      </c>
      <c r="D79" t="s">
        <v>126</v>
      </c>
      <c r="E79" t="s">
        <v>112</v>
      </c>
      <c r="I79">
        <v>1</v>
      </c>
      <c r="J79" t="s">
        <v>113</v>
      </c>
      <c r="K79" t="s">
        <v>78</v>
      </c>
      <c r="L79">
        <v>1</v>
      </c>
      <c r="M79" t="s">
        <v>20</v>
      </c>
    </row>
    <row r="80" spans="1:13" x14ac:dyDescent="0.35">
      <c r="A80" t="s">
        <v>251</v>
      </c>
      <c r="B80">
        <v>1</v>
      </c>
      <c r="C80" t="s">
        <v>252</v>
      </c>
      <c r="D80" t="s">
        <v>126</v>
      </c>
      <c r="E80" t="s">
        <v>112</v>
      </c>
      <c r="I80">
        <v>1</v>
      </c>
      <c r="J80" t="s">
        <v>113</v>
      </c>
      <c r="K80" t="s">
        <v>84</v>
      </c>
      <c r="L80">
        <v>1</v>
      </c>
      <c r="M80" t="s">
        <v>67</v>
      </c>
    </row>
    <row r="81" spans="1:13" x14ac:dyDescent="0.35">
      <c r="A81" t="s">
        <v>253</v>
      </c>
      <c r="B81">
        <v>1</v>
      </c>
      <c r="C81" t="s">
        <v>253</v>
      </c>
      <c r="D81" t="s">
        <v>111</v>
      </c>
      <c r="E81" t="s">
        <v>112</v>
      </c>
      <c r="I81">
        <v>1</v>
      </c>
      <c r="J81" t="s">
        <v>113</v>
      </c>
      <c r="K81" t="s">
        <v>85</v>
      </c>
      <c r="L81">
        <v>1</v>
      </c>
      <c r="M81" t="s">
        <v>59</v>
      </c>
    </row>
    <row r="82" spans="1:13" x14ac:dyDescent="0.35">
      <c r="A82" t="s">
        <v>254</v>
      </c>
      <c r="B82">
        <v>1</v>
      </c>
      <c r="C82" t="s">
        <v>255</v>
      </c>
      <c r="D82" t="s">
        <v>126</v>
      </c>
      <c r="E82" t="s">
        <v>112</v>
      </c>
      <c r="I82">
        <v>1</v>
      </c>
      <c r="J82" t="s">
        <v>113</v>
      </c>
      <c r="K82" t="s">
        <v>86</v>
      </c>
      <c r="L82">
        <v>1</v>
      </c>
      <c r="M82" t="s">
        <v>5</v>
      </c>
    </row>
    <row r="83" spans="1:13" x14ac:dyDescent="0.35">
      <c r="A83" t="s">
        <v>256</v>
      </c>
      <c r="B83">
        <v>1</v>
      </c>
      <c r="C83" t="s">
        <v>257</v>
      </c>
      <c r="D83" t="s">
        <v>163</v>
      </c>
      <c r="E83" t="s">
        <v>164</v>
      </c>
      <c r="I83">
        <v>1</v>
      </c>
      <c r="J83" t="s">
        <v>113</v>
      </c>
      <c r="K83" t="s">
        <v>87</v>
      </c>
      <c r="L83">
        <v>1</v>
      </c>
      <c r="M83" t="s">
        <v>300</v>
      </c>
    </row>
    <row r="84" spans="1:13" x14ac:dyDescent="0.35">
      <c r="A84" t="s">
        <v>258</v>
      </c>
      <c r="B84">
        <v>1</v>
      </c>
      <c r="I84">
        <v>1</v>
      </c>
      <c r="J84" t="s">
        <v>123</v>
      </c>
      <c r="K84" t="s">
        <v>88</v>
      </c>
      <c r="L84">
        <v>1</v>
      </c>
      <c r="M84" t="s">
        <v>5</v>
      </c>
    </row>
    <row r="85" spans="1:13" x14ac:dyDescent="0.35">
      <c r="A85" t="s">
        <v>259</v>
      </c>
      <c r="B85">
        <v>1</v>
      </c>
      <c r="C85" t="s">
        <v>260</v>
      </c>
      <c r="D85" t="s">
        <v>163</v>
      </c>
      <c r="E85" t="s">
        <v>164</v>
      </c>
      <c r="I85">
        <v>1</v>
      </c>
      <c r="J85" t="s">
        <v>113</v>
      </c>
      <c r="K85" t="s">
        <v>89</v>
      </c>
      <c r="L85">
        <v>1</v>
      </c>
      <c r="M85" t="s">
        <v>20</v>
      </c>
    </row>
    <row r="86" spans="1:13" x14ac:dyDescent="0.35">
      <c r="A86" t="s">
        <v>261</v>
      </c>
      <c r="B86">
        <v>1</v>
      </c>
      <c r="C86" t="s">
        <v>262</v>
      </c>
      <c r="D86" t="s">
        <v>129</v>
      </c>
      <c r="E86" t="s">
        <v>112</v>
      </c>
      <c r="I86">
        <v>1</v>
      </c>
      <c r="J86" t="s">
        <v>113</v>
      </c>
      <c r="K86" t="s">
        <v>91</v>
      </c>
      <c r="L86">
        <v>1</v>
      </c>
      <c r="M86" t="s">
        <v>92</v>
      </c>
    </row>
    <row r="87" spans="1:13" x14ac:dyDescent="0.35">
      <c r="A87" t="s">
        <v>263</v>
      </c>
      <c r="B87">
        <v>1</v>
      </c>
      <c r="C87" t="s">
        <v>263</v>
      </c>
      <c r="D87" t="s">
        <v>126</v>
      </c>
      <c r="E87" t="s">
        <v>112</v>
      </c>
      <c r="I87">
        <v>1</v>
      </c>
      <c r="J87" t="s">
        <v>113</v>
      </c>
      <c r="K87" t="s">
        <v>93</v>
      </c>
      <c r="L87">
        <v>1</v>
      </c>
      <c r="M87" t="s">
        <v>20</v>
      </c>
    </row>
    <row r="88" spans="1:13" x14ac:dyDescent="0.35">
      <c r="A88" t="s">
        <v>264</v>
      </c>
      <c r="B88">
        <v>1</v>
      </c>
      <c r="C88" t="s">
        <v>265</v>
      </c>
      <c r="D88" t="s">
        <v>163</v>
      </c>
      <c r="E88" t="s">
        <v>112</v>
      </c>
      <c r="I88">
        <v>1</v>
      </c>
      <c r="J88" t="s">
        <v>113</v>
      </c>
      <c r="K88" t="s">
        <v>94</v>
      </c>
      <c r="L88">
        <v>1</v>
      </c>
      <c r="M88" t="s">
        <v>54</v>
      </c>
    </row>
    <row r="89" spans="1:13" x14ac:dyDescent="0.35">
      <c r="A89" t="s">
        <v>266</v>
      </c>
      <c r="B89">
        <v>1</v>
      </c>
      <c r="C89" t="s">
        <v>267</v>
      </c>
      <c r="D89" t="s">
        <v>163</v>
      </c>
      <c r="E89" t="s">
        <v>112</v>
      </c>
      <c r="I89">
        <v>1</v>
      </c>
      <c r="J89" t="s">
        <v>113</v>
      </c>
      <c r="K89" t="s">
        <v>95</v>
      </c>
      <c r="L89">
        <v>1</v>
      </c>
      <c r="M89" t="s">
        <v>69</v>
      </c>
    </row>
    <row r="90" spans="1:13" x14ac:dyDescent="0.35">
      <c r="A90" t="s">
        <v>268</v>
      </c>
      <c r="B90">
        <v>1</v>
      </c>
      <c r="I90">
        <v>2</v>
      </c>
      <c r="J90" t="s">
        <v>123</v>
      </c>
    </row>
    <row r="91" spans="1:13" x14ac:dyDescent="0.35">
      <c r="A91" t="s">
        <v>269</v>
      </c>
      <c r="B91">
        <v>1</v>
      </c>
      <c r="I91">
        <v>2</v>
      </c>
      <c r="J91" t="s">
        <v>123</v>
      </c>
    </row>
    <row r="92" spans="1:13" x14ac:dyDescent="0.35">
      <c r="A92" t="s">
        <v>270</v>
      </c>
      <c r="B92">
        <v>1</v>
      </c>
      <c r="I92">
        <v>2</v>
      </c>
      <c r="J92" t="s">
        <v>123</v>
      </c>
    </row>
    <row r="93" spans="1:13" x14ac:dyDescent="0.35">
      <c r="A93" t="s">
        <v>271</v>
      </c>
      <c r="B93">
        <v>1</v>
      </c>
      <c r="C93" t="s">
        <v>272</v>
      </c>
      <c r="D93" t="s">
        <v>126</v>
      </c>
      <c r="E93" t="s">
        <v>112</v>
      </c>
      <c r="I93">
        <v>1</v>
      </c>
      <c r="J93" t="s">
        <v>113</v>
      </c>
      <c r="K93" t="s">
        <v>96</v>
      </c>
      <c r="L93">
        <v>1</v>
      </c>
      <c r="M93" t="s">
        <v>7</v>
      </c>
    </row>
    <row r="94" spans="1:13" x14ac:dyDescent="0.35">
      <c r="A94" t="s">
        <v>273</v>
      </c>
      <c r="B94">
        <v>1</v>
      </c>
      <c r="C94" t="s">
        <v>274</v>
      </c>
      <c r="D94" t="s">
        <v>129</v>
      </c>
      <c r="E94" t="s">
        <v>112</v>
      </c>
      <c r="I94">
        <v>1</v>
      </c>
      <c r="J94" t="s">
        <v>113</v>
      </c>
      <c r="K94" t="s">
        <v>97</v>
      </c>
      <c r="L94">
        <v>1</v>
      </c>
      <c r="M94" t="s">
        <v>67</v>
      </c>
    </row>
    <row r="95" spans="1:13" x14ac:dyDescent="0.35">
      <c r="A95" t="s">
        <v>275</v>
      </c>
      <c r="B95">
        <v>1</v>
      </c>
      <c r="C95" t="s">
        <v>276</v>
      </c>
      <c r="D95" t="s">
        <v>126</v>
      </c>
      <c r="E95" t="s">
        <v>112</v>
      </c>
      <c r="I95">
        <v>1</v>
      </c>
      <c r="J95" t="s">
        <v>113</v>
      </c>
      <c r="K95" t="s">
        <v>98</v>
      </c>
      <c r="L95">
        <v>1</v>
      </c>
      <c r="M95" t="s">
        <v>99</v>
      </c>
    </row>
    <row r="96" spans="1:13" x14ac:dyDescent="0.35">
      <c r="A96" t="s">
        <v>277</v>
      </c>
      <c r="B96">
        <v>1</v>
      </c>
      <c r="C96" t="s">
        <v>278</v>
      </c>
      <c r="D96" t="s">
        <v>126</v>
      </c>
      <c r="E96" t="s">
        <v>112</v>
      </c>
      <c r="G96" t="s">
        <v>280</v>
      </c>
      <c r="I96">
        <v>1</v>
      </c>
      <c r="J96" t="s">
        <v>113</v>
      </c>
      <c r="K96" t="s">
        <v>100</v>
      </c>
      <c r="L96">
        <v>1</v>
      </c>
      <c r="M96" t="s">
        <v>25</v>
      </c>
    </row>
  </sheetData>
  <autoFilter ref="A1:M96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AC15B-1624-4210-AEE4-F1CD59A3DF6E}">
  <dimension ref="A1:H5"/>
  <sheetViews>
    <sheetView workbookViewId="0">
      <selection activeCell="F5" sqref="F5"/>
    </sheetView>
  </sheetViews>
  <sheetFormatPr defaultRowHeight="14.5" x14ac:dyDescent="0.35"/>
  <cols>
    <col min="1" max="1" width="19.26953125" bestFit="1" customWidth="1"/>
    <col min="2" max="2" width="15.7265625" bestFit="1" customWidth="1"/>
    <col min="3" max="3" width="18.26953125" bestFit="1" customWidth="1"/>
    <col min="4" max="4" width="20.90625" bestFit="1" customWidth="1"/>
    <col min="5" max="5" width="17.453125" bestFit="1" customWidth="1"/>
    <col min="6" max="6" width="19.453125" bestFit="1" customWidth="1"/>
    <col min="7" max="7" width="14.7265625" bestFit="1" customWidth="1"/>
  </cols>
  <sheetData>
    <row r="1" spans="1:8" x14ac:dyDescent="0.35">
      <c r="A1" t="s">
        <v>281</v>
      </c>
      <c r="B1" t="s">
        <v>282</v>
      </c>
      <c r="C1" t="s">
        <v>283</v>
      </c>
      <c r="D1" t="s">
        <v>284</v>
      </c>
      <c r="E1" t="s">
        <v>285</v>
      </c>
      <c r="F1" t="s">
        <v>286</v>
      </c>
      <c r="G1" t="s">
        <v>287</v>
      </c>
      <c r="H1" t="s">
        <v>288</v>
      </c>
    </row>
    <row r="2" spans="1:8" x14ac:dyDescent="0.35">
      <c r="B2" t="s">
        <v>164</v>
      </c>
      <c r="C2" t="s">
        <v>289</v>
      </c>
      <c r="E2" t="s">
        <v>112</v>
      </c>
      <c r="F2" t="s">
        <v>289</v>
      </c>
      <c r="G2">
        <v>1</v>
      </c>
      <c r="H2" t="s">
        <v>290</v>
      </c>
    </row>
    <row r="3" spans="1:8" x14ac:dyDescent="0.35">
      <c r="B3" t="s">
        <v>164</v>
      </c>
      <c r="C3" t="s">
        <v>291</v>
      </c>
      <c r="E3" t="s">
        <v>112</v>
      </c>
      <c r="F3" t="s">
        <v>289</v>
      </c>
      <c r="G3">
        <v>1</v>
      </c>
      <c r="H3" t="s">
        <v>292</v>
      </c>
    </row>
    <row r="4" spans="1:8" x14ac:dyDescent="0.35">
      <c r="B4" t="s">
        <v>164</v>
      </c>
      <c r="C4" t="s">
        <v>293</v>
      </c>
      <c r="E4" t="s">
        <v>112</v>
      </c>
      <c r="F4" t="s">
        <v>289</v>
      </c>
      <c r="G4">
        <v>1</v>
      </c>
      <c r="H4" t="s">
        <v>294</v>
      </c>
    </row>
    <row r="5" spans="1:8" x14ac:dyDescent="0.35">
      <c r="B5" t="s">
        <v>164</v>
      </c>
      <c r="C5" t="s">
        <v>295</v>
      </c>
      <c r="E5" t="s">
        <v>112</v>
      </c>
      <c r="F5" t="s">
        <v>289</v>
      </c>
      <c r="G5">
        <v>1</v>
      </c>
      <c r="H5" t="s">
        <v>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09F7A-4274-4FE7-946E-9DB23B9FDD42}">
  <dimension ref="A1:H2"/>
  <sheetViews>
    <sheetView workbookViewId="0"/>
  </sheetViews>
  <sheetFormatPr defaultRowHeight="14.5" x14ac:dyDescent="0.35"/>
  <cols>
    <col min="1" max="1" width="21.54296875" bestFit="1" customWidth="1"/>
    <col min="2" max="2" width="18" bestFit="1" customWidth="1"/>
    <col min="3" max="3" width="20.54296875" bestFit="1" customWidth="1"/>
    <col min="4" max="4" width="20.90625" bestFit="1" customWidth="1"/>
    <col min="5" max="5" width="17.453125" bestFit="1" customWidth="1"/>
    <col min="6" max="6" width="19.453125" bestFit="1" customWidth="1"/>
    <col min="7" max="7" width="14.7265625" bestFit="1" customWidth="1"/>
  </cols>
  <sheetData>
    <row r="1" spans="1:8" x14ac:dyDescent="0.35">
      <c r="A1" t="s">
        <v>281</v>
      </c>
      <c r="B1" t="s">
        <v>282</v>
      </c>
      <c r="C1" t="s">
        <v>283</v>
      </c>
      <c r="D1" t="s">
        <v>284</v>
      </c>
      <c r="E1" t="s">
        <v>285</v>
      </c>
      <c r="F1" t="s">
        <v>286</v>
      </c>
      <c r="G1" t="s">
        <v>287</v>
      </c>
      <c r="H1" t="s">
        <v>288</v>
      </c>
    </row>
    <row r="2" spans="1:8" x14ac:dyDescent="0.35">
      <c r="B2" t="s">
        <v>297</v>
      </c>
      <c r="C2" t="s">
        <v>298</v>
      </c>
      <c r="E2" t="s">
        <v>111</v>
      </c>
      <c r="F2" t="s">
        <v>298</v>
      </c>
      <c r="G2">
        <v>1</v>
      </c>
      <c r="H2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model</vt:lpstr>
      <vt:lpstr>phase</vt:lpstr>
      <vt:lpstr>merged model</vt:lpstr>
      <vt:lpstr>gold_ref</vt:lpstr>
      <vt:lpstr>silver_ref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Himaz Nazim</cp:lastModifiedBy>
  <dcterms:created xsi:type="dcterms:W3CDTF">2026-08-12T10:23:24Z</dcterms:created>
  <dcterms:modified xsi:type="dcterms:W3CDTF">2026-08-14T14:42:43Z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335ea7-8218-4646-92c4-236acbb4b02e_Enabled">
    <vt:lpwstr>true</vt:lpwstr>
  </property>
  <property fmtid="{D5CDD505-2E9C-101B-9397-08002B2CF9AE}" pid="3" name="MSIP_Label_24335ea7-8218-4646-92c4-236acbb4b02e_SetDate">
    <vt:lpwstr>2026-08-12T10:55:39Z</vt:lpwstr>
  </property>
  <property fmtid="{D5CDD505-2E9C-101B-9397-08002B2CF9AE}" pid="4" name="MSIP_Label_24335ea7-8218-4646-92c4-236acbb4b02e_Method">
    <vt:lpwstr>Standard</vt:lpwstr>
  </property>
  <property fmtid="{D5CDD505-2E9C-101B-9397-08002B2CF9AE}" pid="5" name="MSIP_Label_24335ea7-8218-4646-92c4-236acbb4b02e_Name">
    <vt:lpwstr>Openwork Group Internal Use Only</vt:lpwstr>
  </property>
  <property fmtid="{D5CDD505-2E9C-101B-9397-08002B2CF9AE}" pid="6" name="MSIP_Label_24335ea7-8218-4646-92c4-236acbb4b02e_SiteId">
    <vt:lpwstr>39b68a68-b402-4ae0-971d-d71db557afef</vt:lpwstr>
  </property>
  <property fmtid="{D5CDD505-2E9C-101B-9397-08002B2CF9AE}" pid="7" name="MSIP_Label_24335ea7-8218-4646-92c4-236acbb4b02e_ActionId">
    <vt:lpwstr>90a52175-d36a-4244-b70a-53f52ed7bf49</vt:lpwstr>
  </property>
  <property fmtid="{D5CDD505-2E9C-101B-9397-08002B2CF9AE}" pid="8" name="MSIP_Label_24335ea7-8218-4646-92c4-236acbb4b02e_ContentBits">
    <vt:lpwstr>0</vt:lpwstr>
  </property>
  <property fmtid="{D5CDD505-2E9C-101B-9397-08002B2CF9AE}" pid="9" name="MSIP_Label_24335ea7-8218-4646-92c4-236acbb4b02e_Tag">
    <vt:lpwstr>10, 3, 0, 1</vt:lpwstr>
  </property>
</Properties>
</file>